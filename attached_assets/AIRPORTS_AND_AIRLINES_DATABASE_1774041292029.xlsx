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<sst xmlns="http://schemas.openxmlformats.org/spreadsheetml/2006/main" count="1640" uniqueCount="1019">
  <si>
    <t>AIRPORT CODE</t>
  </si>
  <si>
    <t>AIRLINE CODE</t>
  </si>
  <si>
    <t>FIRMS CODE</t>
  </si>
  <si>
    <t>ISC</t>
  </si>
  <si>
    <t>John F. Kennedy International Airport</t>
  </si>
  <si>
    <t xml:space="preserve">JFK </t>
  </si>
  <si>
    <t>jfk9sv@wfs.aero</t>
  </si>
  <si>
    <t>Queens, NY 11430, USA</t>
  </si>
  <si>
    <t>ATL</t>
  </si>
  <si>
    <t>6000 N Terminal Pkwy, Atlanta, GA 30320, USA</t>
  </si>
  <si>
    <t xml:space="preserve">
</t>
  </si>
  <si>
    <t>Washington Dulles International Airport</t>
  </si>
  <si>
    <t>IAD</t>
  </si>
  <si>
    <t xml:space="preserve"> </t>
  </si>
  <si>
    <t>1 Saarinen Cir, Dulles, VA 20166, USA</t>
  </si>
  <si>
    <t>Detroit Metropolitan Airport</t>
  </si>
  <si>
    <r>
      <rPr>
        <rFont val="Calibri"/>
        <color rgb="FFFF0000"/>
        <sz val="18.0"/>
      </rPr>
      <t> </t>
    </r>
    <r>
      <rPr>
        <rFont val="Calibri"/>
        <color rgb="FFFF0000"/>
        <sz val="18.0"/>
      </rPr>
      <t>DTW</t>
    </r>
  </si>
  <si>
    <t>Detroit, MI 48242, USA</t>
  </si>
  <si>
    <t>Miami International Airport</t>
  </si>
  <si>
    <t>MIA</t>
  </si>
  <si>
    <t>2100 NW 42nd Ave, Miami, FL 33126, USA</t>
  </si>
  <si>
    <t>`</t>
  </si>
  <si>
    <t>Orlando International Airport</t>
  </si>
  <si>
    <t> MCO</t>
  </si>
  <si>
    <t>1 Jeff Fuqua Blvd, Orlando, FL 32827, USA</t>
  </si>
  <si>
    <t>Logan International Airport</t>
  </si>
  <si>
    <t>BOS</t>
  </si>
  <si>
    <t>1 Harborside Dr, Boston, MA 02128, USA</t>
  </si>
  <si>
    <t>Los Angeles International Airport</t>
  </si>
  <si>
    <t>Fmn</t>
  </si>
  <si>
    <t>1 World Way, Los Angeles, CA 90045, USA</t>
  </si>
  <si>
    <t>HOUSTON George Bush Intercontinental Airport</t>
  </si>
  <si>
    <t>p</t>
  </si>
  <si>
    <t>AIRLINE NAME</t>
  </si>
  <si>
    <t>ISC ($)</t>
  </si>
  <si>
    <t>ISC PAYABLE AT</t>
  </si>
  <si>
    <t>ISC PAYABLE TO</t>
  </si>
  <si>
    <t>CONTACT NUMBER</t>
  </si>
  <si>
    <t>E-MAIL ADDRESS</t>
  </si>
  <si>
    <t>1. EMIRATES AIRLINES (176)</t>
  </si>
  <si>
    <t>JFK, NY</t>
  </si>
  <si>
    <t>EK</t>
  </si>
  <si>
    <t>F670</t>
  </si>
  <si>
    <t>Epic</t>
  </si>
  <si>
    <t>WFF</t>
  </si>
  <si>
    <t>718 656 3980--- EX-1
718-880-3417
DIRECT # 718 880 3418</t>
  </si>
  <si>
    <t>ekimport@wfs.aero</t>
  </si>
  <si>
    <t>DONE</t>
  </si>
  <si>
    <t xml:space="preserve">NEWARK </t>
  </si>
  <si>
    <t>E435</t>
  </si>
  <si>
    <t>ALLIANCE GROUND</t>
  </si>
  <si>
    <t>973 206 0660</t>
  </si>
  <si>
    <t>ATLANTA, GA</t>
  </si>
  <si>
    <t>L531</t>
  </si>
  <si>
    <t>404-767-8785</t>
  </si>
  <si>
    <t>ATLEKOPS@SWISSPORT.COM</t>
  </si>
  <si>
    <t>LAX</t>
  </si>
  <si>
    <t>W177</t>
  </si>
  <si>
    <t>Epic Pay</t>
  </si>
  <si>
    <t>MERCURY AIRCARGO</t>
  </si>
  <si>
    <t>EKIMPORT@MERCURYAIR.COM</t>
  </si>
  <si>
    <t>EWR</t>
  </si>
  <si>
    <t>Cargosprint</t>
  </si>
  <si>
    <t>973-206-0660</t>
  </si>
  <si>
    <t>AGIEKEWR@ALLIANCEGROUND.COM</t>
  </si>
  <si>
    <t>ORD</t>
  </si>
  <si>
    <t>H526 / HAO0</t>
  </si>
  <si>
    <t>75 - 105</t>
  </si>
  <si>
    <t>Airport Logistics /Maestro cargo</t>
  </si>
  <si>
    <t>773-686-0700 -/- 773-570-6432</t>
  </si>
  <si>
    <t>ORDRES@EMIRATES.COM</t>
  </si>
  <si>
    <t>ORLANDO</t>
  </si>
  <si>
    <t>O761</t>
  </si>
  <si>
    <t>Pay Cargo/Cargo Sprint</t>
  </si>
  <si>
    <t>321-732-8070 * 2 * 4</t>
  </si>
  <si>
    <t>BOS (LOGAN)</t>
  </si>
  <si>
    <t>A308</t>
  </si>
  <si>
    <t>617-702-2848</t>
  </si>
  <si>
    <t>MIAMI</t>
  </si>
  <si>
    <t>M503</t>
  </si>
  <si>
    <t>miawfsuae@wfs.aero</t>
  </si>
  <si>
    <t>SFO</t>
  </si>
  <si>
    <t>W197</t>
  </si>
  <si>
    <t xml:space="preserve">
(650) 737-4880 x 6 x 1 (for imports)</t>
  </si>
  <si>
    <t>WASHINTON</t>
  </si>
  <si>
    <t>L720</t>
  </si>
  <si>
    <t>Column 1</t>
  </si>
  <si>
    <t>Column 2</t>
  </si>
  <si>
    <t>Column 3</t>
  </si>
  <si>
    <t>703-840-8392</t>
  </si>
  <si>
    <t>IAD RES &lt;iadres@emirates.com&gt;; IADMGR &lt;iadmgr@casusa.com&gt;; Mahmoud Reda.Saad &lt;MSaad@wfs.aero&gt;; Nadia Elmana &lt;Nadia.Elmana@wfs.aero&gt;</t>
  </si>
  <si>
    <t>FT LAUDERDALE</t>
  </si>
  <si>
    <t>O121</t>
  </si>
  <si>
    <t>CHARLOTTE</t>
  </si>
  <si>
    <t>O708</t>
  </si>
  <si>
    <t>HOUSTON</t>
  </si>
  <si>
    <t>SAV6</t>
  </si>
  <si>
    <t>DALLAS</t>
  </si>
  <si>
    <t>V182</t>
  </si>
  <si>
    <t>2. TURKISH AIRLINES (235)</t>
  </si>
  <si>
    <t>TK</t>
  </si>
  <si>
    <t>F364</t>
  </si>
  <si>
    <t>718‑679‑9036 // 718‑679‑9023 // 7188803513</t>
  </si>
  <si>
    <t>718-785-2920
AGI - Building 22 - Ext  2 then 4</t>
  </si>
  <si>
    <t>718-553-2190 // 
718 880 3513 // 718 244 5500 x 0 x 4</t>
  </si>
  <si>
    <r>
      <rPr>
        <rFont val="Calibri"/>
        <color rgb="FF000000"/>
        <sz val="11.0"/>
      </rPr>
      <t xml:space="preserve">jfktkimp@allianceground.com; jfktkexp@allianceground.com; </t>
    </r>
    <r>
      <rPr>
        <rFont val="Calibri"/>
        <color rgb="FF0000FF"/>
        <sz val="11.0"/>
      </rPr>
      <t>jfkcvimp@allianceground.com</t>
    </r>
  </si>
  <si>
    <t>W423</t>
  </si>
  <si>
    <t>310-646-1917</t>
  </si>
  <si>
    <t>LAXTURKISH@SWISSPORT.COM</t>
  </si>
  <si>
    <t>LAI0</t>
  </si>
  <si>
    <t xml:space="preserve">(305) 871-9001 x 3 (305) 397-0161 </t>
  </si>
  <si>
    <t>MIACARGO@THY.COM /  : turkish@nashandling.aero</t>
  </si>
  <si>
    <t>K372</t>
  </si>
  <si>
    <t xml:space="preserve">773-686-5840 </t>
  </si>
  <si>
    <t>tkordops@allianceground.com // mkamil@agi.aero</t>
  </si>
  <si>
    <t>WASHINGTON DC</t>
  </si>
  <si>
    <t>M371 / LB17</t>
  </si>
  <si>
    <t xml:space="preserve">        800-874-8875/703.840-6400</t>
  </si>
  <si>
    <t>IAD.TK.OPS@CHOICE.AERO</t>
  </si>
  <si>
    <t>W934</t>
  </si>
  <si>
    <t>650-351-0340 (4)</t>
  </si>
  <si>
    <t>sfotkcargo@swissport.com</t>
  </si>
  <si>
    <t>O673</t>
  </si>
  <si>
    <t>404-767-8785 * 4 * 1</t>
  </si>
  <si>
    <t>DFW</t>
  </si>
  <si>
    <t>SAX6</t>
  </si>
  <si>
    <t>972-474-1809</t>
  </si>
  <si>
    <t>tkdfwimport@wfs.aero</t>
  </si>
  <si>
    <t>Boston</t>
  </si>
  <si>
    <t>A160</t>
  </si>
  <si>
    <t>WFS</t>
  </si>
  <si>
    <t>Import: 617766-3306 Export: 469629-0489</t>
  </si>
  <si>
    <t>BOSimportOPS@wfs.aero; bos62op@wfs.aero; boscargo@thy.com</t>
  </si>
  <si>
    <t>Kansas MCI</t>
  </si>
  <si>
    <t>HBW1</t>
  </si>
  <si>
    <t>Midwest Express</t>
  </si>
  <si>
    <t>816-692-4033</t>
  </si>
  <si>
    <t>megan.moore@midwestexpressco.com Sue.Riga@midwestexpressco.com</t>
  </si>
  <si>
    <t>3. CATHY PECIFIC (160)</t>
  </si>
  <si>
    <t>CX</t>
  </si>
  <si>
    <t>F358</t>
  </si>
  <si>
    <t>718-289-7200 / 718-244-6260 (johnny) / 347-960-5598 (import)  // 347-960-5598</t>
  </si>
  <si>
    <t>Y354</t>
  </si>
  <si>
    <t>3104170052/310-417-0240</t>
  </si>
  <si>
    <t>CATHYIMPORT@MERCURYAIR.COM</t>
  </si>
  <si>
    <t>(973) 685-3580</t>
  </si>
  <si>
    <t>AGICXEWR@ALLIANCEGROUND.COM</t>
  </si>
  <si>
    <t>I685</t>
  </si>
  <si>
    <t>(773) 686-5840 x 2</t>
  </si>
  <si>
    <t>CXORDIMP@ALLIANCEGROUND.COM</t>
  </si>
  <si>
    <t>N421</t>
  </si>
  <si>
    <t>404-559-0244</t>
  </si>
  <si>
    <t>V143</t>
  </si>
  <si>
    <t>M652</t>
  </si>
  <si>
    <t>4. BRITISH AIRWAYS (125)</t>
  </si>
  <si>
    <t>BA</t>
  </si>
  <si>
    <t>E793</t>
  </si>
  <si>
    <t>EPIC PAY</t>
  </si>
  <si>
    <t>347-982-2200 / 718-425-5039 / 347 982 2208 
Contact persons: Frederick, Roshane, Cynthia, Stacy
Managers: Mark, Dona, Joe
(929-403-6112  General Manager Dona/Mark/Joe, only call if there is any problem)</t>
  </si>
  <si>
    <r>
      <rPr>
        <rFont val="Calibri"/>
        <color rgb="FFFF0000"/>
        <sz val="11.0"/>
      </rPr>
      <t>JFK66AMS@WFS.AERO</t>
    </r>
    <r>
      <rPr>
        <rFont val="Calibri"/>
        <color rgb="FF000000"/>
        <sz val="11.0"/>
      </rPr>
      <t>; jfk66leads@wfs.aero; infoamerica@wfs.aero</t>
    </r>
  </si>
  <si>
    <t>Y267</t>
  </si>
  <si>
    <t>3102586100 / (310)258-6100 x1201-1204</t>
  </si>
  <si>
    <t>BAOPS2@MERCURYAIR.COM | BAOPS2@WFS.AERO |  iaglaxmac@wfs.aero|| Dalila Georgina Olivero &lt;Dalila.Olivero@wfs.aero&gt;</t>
  </si>
  <si>
    <t>N192</t>
  </si>
  <si>
    <t>Air General MCO</t>
  </si>
  <si>
    <t>773-917-2200</t>
  </si>
  <si>
    <t>IAGMCO@AIRGENERAL.COM &lt;IAGMCO@airgeneral.com&gt;</t>
  </si>
  <si>
    <t>F209</t>
  </si>
  <si>
    <t>973-961-2777 x 1</t>
  </si>
  <si>
    <t>EWRSAS@WFS.AERO</t>
  </si>
  <si>
    <t>T342</t>
  </si>
  <si>
    <t>Air general</t>
  </si>
  <si>
    <t>972-574-4842</t>
  </si>
  <si>
    <t>WASHINGTON DC/IAG</t>
  </si>
  <si>
    <t>O839</t>
  </si>
  <si>
    <t>703-574-9810</t>
  </si>
  <si>
    <t>IAGCARGOIAD@AIRGENERAL.COM</t>
  </si>
  <si>
    <t>DENVER</t>
  </si>
  <si>
    <t>J628, I866</t>
  </si>
  <si>
    <t>EPIC + SPRINT PAY</t>
  </si>
  <si>
    <t>303-342-3502/303-373-0204</t>
  </si>
  <si>
    <t>DEN IAG CARGO &lt;iagcargoden@airgeneral.com&gt; serviceteam@iagcargo.com, kerry.obrien@iagcargo.com; sean.brandt@airgeneral.com</t>
  </si>
  <si>
    <t>SALT LAKE CITY</t>
  </si>
  <si>
    <t>H218</t>
  </si>
  <si>
    <t>800-726-6654</t>
  </si>
  <si>
    <t>801-410-4156</t>
  </si>
  <si>
    <t>407-851-4000</t>
  </si>
  <si>
    <t xml:space="preserve">bacargoresmco@airgeneral .com // ISC $120(air general / pay cargo ) </t>
  </si>
  <si>
    <t>ATLANTA</t>
  </si>
  <si>
    <t>M802</t>
  </si>
  <si>
    <t>404-559-0244 (x 4 x 1 )</t>
  </si>
  <si>
    <t>IAGCARGOATLIMP@ALLIANCEGROUND.COM</t>
  </si>
  <si>
    <t>minneapolis</t>
  </si>
  <si>
    <t>K808</t>
  </si>
  <si>
    <t>651-688-9748</t>
  </si>
  <si>
    <t>BALTIMORE</t>
  </si>
  <si>
    <t>410-859-5008</t>
  </si>
  <si>
    <t>NASHVILLS BNA</t>
  </si>
  <si>
    <t>PAH4</t>
  </si>
  <si>
    <t>615-285-3190</t>
  </si>
  <si>
    <t>CARGO SPRINT</t>
  </si>
  <si>
    <t>TRUCKER 704-357-0990</t>
  </si>
  <si>
    <t>W895</t>
  </si>
  <si>
    <t>650-826-5400 x 2 x 1</t>
  </si>
  <si>
    <t>Jennifer Tang &lt;Jennifer.Tang@menziesaviation.com&gt;; iagcargo sfoimports &lt;iagcargo.sfoimports@menziesaviation.com&gt;; Moinuddin Qureshi &lt;Moinuddin.Qureshi@menziesaviation.com&gt;; Mohamad Bader &lt;Mohamad.Bader@menziesaviation.com&gt;; Jefriel Bacorro &lt;jefriel.bacorro@menziesaviation.com&gt;</t>
  </si>
  <si>
    <t>Houston</t>
  </si>
  <si>
    <t>T694</t>
  </si>
  <si>
    <t xml:space="preserve">Pay cargo </t>
  </si>
  <si>
    <t>281-821 2064</t>
  </si>
  <si>
    <t>IAG IAH Imports &lt;iag-iah-imports@airgeneral.com&gt;</t>
  </si>
  <si>
    <t>Miami</t>
  </si>
  <si>
    <t>M657</t>
  </si>
  <si>
    <t>800-247-9297 / 305 503 7601 || WFS: +1 305 722 5159 (7896) (7889)</t>
  </si>
  <si>
    <t>mia702exports@wfs.aero; mia702imports@wfs.aero; mia702interline@wfs.aero</t>
  </si>
  <si>
    <t>Louisville</t>
  </si>
  <si>
    <t>J135</t>
  </si>
  <si>
    <t>Cargo Sprint</t>
  </si>
  <si>
    <t>502-961-9500</t>
  </si>
  <si>
    <t>ABQ</t>
  </si>
  <si>
    <t>V678</t>
  </si>
  <si>
    <t>505-764-5995</t>
  </si>
  <si>
    <t>Kansas City</t>
  </si>
  <si>
    <t>K740</t>
  </si>
  <si>
    <t>816-243-8470</t>
  </si>
  <si>
    <t>mciimports@landairexpress.com; mci_imports@forwardair.com; Susan Kay. Riga &lt;SRiga@forwardair.com&gt;</t>
  </si>
  <si>
    <t>PHILA. INTER AIR</t>
  </si>
  <si>
    <t>A156</t>
  </si>
  <si>
    <t xml:space="preserve">267-244-9900 </t>
  </si>
  <si>
    <t>bacargophl@wfs.aero</t>
  </si>
  <si>
    <t>San Diego</t>
  </si>
  <si>
    <t>w005</t>
  </si>
  <si>
    <t>paycargo</t>
  </si>
  <si>
    <t xml:space="preserve">858-355-9287 // (619) 881-9757 </t>
  </si>
  <si>
    <t>IAGC SAN DIEGO &lt;iagcsan@wearegat.net&gt;IAG Cargo &lt;iagc@iagcargo-us.com&gt; // iagcsan@wearegat.net</t>
  </si>
  <si>
    <t>OLKAHOME</t>
  </si>
  <si>
    <t>405-943-3416</t>
  </si>
  <si>
    <t>Jennifer Thomas &lt;jennifer.thomas@airgeneral.com&gt;\\ BA Cargo Res MCO &lt;bacargoresmco@airgeneral.com&gt;</t>
  </si>
  <si>
    <t>Portland PDX</t>
  </si>
  <si>
    <t>WBW8</t>
  </si>
  <si>
    <t>678-410-8288</t>
  </si>
  <si>
    <t>Ashley VanPelt &lt;avanpelt@agi.aero&gt; IAGCARGOPDX@ALLIANCEGROUND.COM &lt;iagcargopdx@allianceground.com&gt;</t>
  </si>
  <si>
    <t>5. UNITED AIRLINES (016)</t>
  </si>
  <si>
    <t>UA</t>
  </si>
  <si>
    <t>E799</t>
  </si>
  <si>
    <t>718-709-0200 / 718-709-0231</t>
  </si>
  <si>
    <t>GRP-CGOSERVICE-JFKFF-VM@UNITED.COM / CGOSERVICE-JFKFF-FP@UNITED.COM / JFKUACARGO@SWISSPORT.COM</t>
  </si>
  <si>
    <t>W050</t>
  </si>
  <si>
    <t>CLT</t>
  </si>
  <si>
    <t>LDD0</t>
  </si>
  <si>
    <t>Y276</t>
  </si>
  <si>
    <t>(310) 431-3700 / 1800 822 2746</t>
  </si>
  <si>
    <t>GRP-CGOSERVICE-LAXFF-VM@UNITED.COM / SSOUAL-AMS@SWISSPORT.COM / yasmin.laradesanchez@swissport.com</t>
  </si>
  <si>
    <t>E623</t>
  </si>
  <si>
    <t>973-681-3376/973-681-3388/800 822-2746/973-681-3310</t>
  </si>
  <si>
    <t xml:space="preserve">
Nyae.Mcmillan@swissport.com</t>
  </si>
  <si>
    <t>L320</t>
  </si>
  <si>
    <t>800 822 2746 x Cargo Dep</t>
  </si>
  <si>
    <t>W984</t>
  </si>
  <si>
    <t>W694</t>
  </si>
  <si>
    <t>CARGO SPRINT/PAYCARGO</t>
  </si>
  <si>
    <t>650-874-8300</t>
  </si>
  <si>
    <t>Arnobit, Marilyn &lt;Marilyn.Arnobit@swissport.com&gt;</t>
  </si>
  <si>
    <t xml:space="preserve">MCO
</t>
  </si>
  <si>
    <t xml:space="preserve">UA
</t>
  </si>
  <si>
    <t xml:space="preserve">N265
</t>
  </si>
  <si>
    <t>N664</t>
  </si>
  <si>
    <t>305-925-7026 || 305-925-0727</t>
  </si>
  <si>
    <t>IAH, HOUSTON</t>
  </si>
  <si>
    <t>s984</t>
  </si>
  <si>
    <t>281-553-6202</t>
  </si>
  <si>
    <t>kwilliam@unitedhq.com , sgarcia@unitedhq.com</t>
  </si>
  <si>
    <t>CLEVELAND,OH</t>
  </si>
  <si>
    <t>J600</t>
  </si>
  <si>
    <t>MCI</t>
  </si>
  <si>
    <t>800-822-2746</t>
  </si>
  <si>
    <t>cargo@united.com</t>
  </si>
  <si>
    <t>memphis</t>
  </si>
  <si>
    <t>Q542</t>
  </si>
  <si>
    <t>901-366-4242 / 901-407-3864</t>
  </si>
  <si>
    <t>sdorsey@forwardair.com    // FA_MEM@forwardair.com // JStokes@forwardair.com // memimports@forwardair.com</t>
  </si>
  <si>
    <t>STL</t>
  </si>
  <si>
    <t>J267</t>
  </si>
  <si>
    <t>314-426-3778</t>
  </si>
  <si>
    <t>LAS</t>
  </si>
  <si>
    <t>W865</t>
  </si>
  <si>
    <t>MFE</t>
  </si>
  <si>
    <t>V568</t>
  </si>
  <si>
    <t>_FA_MFE@forwardair.com</t>
  </si>
  <si>
    <t>BWI, MD</t>
  </si>
  <si>
    <t>AAB5</t>
  </si>
  <si>
    <t>(410)-859-1115</t>
  </si>
  <si>
    <t>Branch, Wayne &lt;Wayne.Branch@swissport.com&gt;; Sowunmi, Olatubosun &lt;olatubosun.sowunmi@swissport.com&gt;; grp-cgoservice-bwiff-vm@united.com</t>
  </si>
  <si>
    <t xml:space="preserve">LAS </t>
  </si>
  <si>
    <t>Y995</t>
  </si>
  <si>
    <t>Philidelphia</t>
  </si>
  <si>
    <t>B259</t>
  </si>
  <si>
    <t>grp-cgoservice-phlff-vm@united.com</t>
  </si>
  <si>
    <t>PHX</t>
  </si>
  <si>
    <t>T004</t>
  </si>
  <si>
    <t>Swissport cargo</t>
  </si>
  <si>
    <t>L865</t>
  </si>
  <si>
    <t>UNITED CARGO (CHECK IN SYSTEM)</t>
  </si>
  <si>
    <t>6. ETIHAD AIRWAYS (607)</t>
  </si>
  <si>
    <t>EY</t>
  </si>
  <si>
    <t>F792</t>
  </si>
  <si>
    <t>718-880-3503</t>
  </si>
  <si>
    <t>EYIMPORTCARGOJFK@WFS.AERO</t>
  </si>
  <si>
    <t>W834</t>
  </si>
  <si>
    <t>310-665-2261</t>
  </si>
  <si>
    <t>LAX.TAS@TASINC.AERO</t>
  </si>
  <si>
    <t>SAN9</t>
  </si>
  <si>
    <t>(972) 574-5160</t>
  </si>
  <si>
    <t>EYDFW@CASUSA.COM</t>
  </si>
  <si>
    <t>E078</t>
  </si>
  <si>
    <t>(973) 690-5767</t>
  </si>
  <si>
    <t>FA_EWR@FORWARDAIR.COM</t>
  </si>
  <si>
    <t>I345</t>
  </si>
  <si>
    <t>SWISS PORT</t>
  </si>
  <si>
    <t>312-702-2601</t>
  </si>
  <si>
    <t>FA_ORD@FORWARDAIR.COM</t>
  </si>
  <si>
    <t>7. QATAR AIRWAYS (157)</t>
  </si>
  <si>
    <t>QR</t>
  </si>
  <si>
    <t>E037</t>
  </si>
  <si>
    <t>Cargosprint E821
PayCargo</t>
  </si>
  <si>
    <t>718 244 5250, 718 521 4174</t>
  </si>
  <si>
    <t>jfkcargoops@qatarairways.comJFKCARGO@US.QATARAIRWAYS.COM // qrjfkimport@wfs.aero</t>
  </si>
  <si>
    <t>404-767-8785 ext 4 then  1</t>
  </si>
  <si>
    <t>ATLQROPS@SWISSPORT.COM</t>
  </si>
  <si>
    <t>WAX4</t>
  </si>
  <si>
    <t>310-988-7260 /  310 258 6116</t>
  </si>
  <si>
    <t>QROPS@MERCURYAIR.COM  // LAX QRimport &lt;lax.qrimport@menziesaviation.com&gt; / qrlaximport@wfs.aero</t>
  </si>
  <si>
    <t>(305) 874-2700</t>
  </si>
  <si>
    <t>COUNTERIMPORT@LATAM.COM</t>
  </si>
  <si>
    <t>ORD (CHICAGO)</t>
  </si>
  <si>
    <t>I225</t>
  </si>
  <si>
    <t>payable to Allaince ground</t>
  </si>
  <si>
    <t>(773) 683-3940 x5</t>
  </si>
  <si>
    <t>QRORDIMP@ALLIANCEGROUND.COM</t>
  </si>
  <si>
    <t>fa_ewr@forwardair.com</t>
  </si>
  <si>
    <t>617-567-0322</t>
  </si>
  <si>
    <t>QATARBOSCARGO@QASLLC.AERO</t>
  </si>
  <si>
    <t>SCO8</t>
  </si>
  <si>
    <t>PAYCARGO / CARGOSPRINT</t>
  </si>
  <si>
    <t xml:space="preserve">        (281) 442-1094
Jessica Fludd 832-827-5830 (qatar imports / pinnacle logistics)</t>
  </si>
  <si>
    <t>IAHCargo@us.qatarairways.com
QRIAH@pinnaclelogistics.com
Jessica Fludd &lt;JFludd@pinnaclelogistics.com&gt;</t>
  </si>
  <si>
    <t>Philadelphia</t>
  </si>
  <si>
    <t>267-244-9900 Payable via ePIC</t>
  </si>
  <si>
    <t>215-365-7100</t>
  </si>
  <si>
    <t>S498</t>
  </si>
  <si>
    <t xml:space="preserve">972-586-2880 </t>
  </si>
  <si>
    <t>DFWCARGO@US.QATARAIRWAYS.COM // PVAKAUTA@PINNACLELOGISTICS.COM // QRDFW@pinnaclelogistics.com // hstump@us.qatarairways.com</t>
  </si>
  <si>
    <t>WBE0</t>
  </si>
  <si>
    <t>650-826-5400 x 5 x 1</t>
  </si>
  <si>
    <t>sfo.qr@menziesaviation.com</t>
  </si>
  <si>
    <t>Y732</t>
  </si>
  <si>
    <t>qrlaximport@wfs.aero</t>
  </si>
  <si>
    <t>HAH8</t>
  </si>
  <si>
    <t>mci_imports@forwardair.com
MCI Imports &lt;mciimports@lktransportllc.com&gt; --&gt; dealing</t>
  </si>
  <si>
    <t>IAH</t>
  </si>
  <si>
    <t>FCO8</t>
  </si>
  <si>
    <t>832-827-5830</t>
  </si>
  <si>
    <t>8. KLM AIRLINES (074)</t>
  </si>
  <si>
    <t>KL</t>
  </si>
  <si>
    <t>E817</t>
  </si>
  <si>
    <t>800-232-2746/718-208-4297</t>
  </si>
  <si>
    <t>RDOODNAUTH@WFS.AERO; apruno@wfs.aero, WFSagentsB78-AFKLAZ &lt;WFSagentsB78-AFKLAZ@wfs.aero&gt;</t>
  </si>
  <si>
    <t>EWR (NEWARK)</t>
  </si>
  <si>
    <t>973-685-3580</t>
  </si>
  <si>
    <t>AGIEWRSPL@ALLIANCEGROUNG.COM</t>
  </si>
  <si>
    <t>beena.isree@wfs.aero</t>
  </si>
  <si>
    <t>MCO</t>
  </si>
  <si>
    <t>N094</t>
  </si>
  <si>
    <t>delta air by check</t>
  </si>
  <si>
    <t>407-888-3005 || 18003522746</t>
  </si>
  <si>
    <t>S991</t>
  </si>
  <si>
    <t>W433</t>
  </si>
  <si>
    <t>CHECK WFS</t>
  </si>
  <si>
    <t>310 646 3620</t>
  </si>
  <si>
    <t>LAXAF OP &lt;LAXAFOP@wfs.aero&gt; // OLGA &lt;olbernal@airfrance.fr&gt;; Customerservices.swusa &lt;Customerservice.swusa@afklmpcargo.com&gt;; AFKLMGMT &lt;AFKLMGMT@wfs.aero&gt;; Karen Mata &lt;KMata@wfs.aero&gt;</t>
  </si>
  <si>
    <t>MNP</t>
  </si>
  <si>
    <t>773-894-7829</t>
  </si>
  <si>
    <t>Y833</t>
  </si>
  <si>
    <t>lascargo &lt;lascargo@wfs.aero&gt;</t>
  </si>
  <si>
    <t>M659</t>
  </si>
  <si>
    <t>EXT * 4 or 5</t>
  </si>
  <si>
    <t>Negro, Rosa Maria (MIA CA QS) - AF' &lt;ronegro@airfrance.fr&gt;; 'Dealvarez-ext@airfrance.fr'; 'customerservice.seusa@afklmpcargo.com'; 'AFMIA' &lt;afmia@wfs.aero&gt;; 'sequote@afkldlcargo.com Negro, Rosa Maria (MIA CA QS) - AF' &lt;ronegro@airfrance.fr&gt;; 'COUNTERIMPORT@LATAM.COM' 'Rocio Jorge' &lt;Rocio.Jorge@wfs.aero&gt;; Salman Nabil (TEU) &lt;sb@teuinc.com&gt;; customerservice.seusa@afklmpcargo.com; AFMIA &lt;afmia@wfs.aero&gt;</t>
  </si>
  <si>
    <t>SEATTLE</t>
  </si>
  <si>
    <t>X183</t>
  </si>
  <si>
    <t>800-352-2746</t>
  </si>
  <si>
    <t>9. AER LINGUS P.L.C</t>
  </si>
  <si>
    <t>EI</t>
  </si>
  <si>
    <t>E820</t>
  </si>
  <si>
    <t>718-215-2004</t>
  </si>
  <si>
    <t>EIJFKOPS@WFS.AERO</t>
  </si>
  <si>
    <t>CHICAGO</t>
  </si>
  <si>
    <t>I830</t>
  </si>
  <si>
    <t>(773) 681-9568</t>
  </si>
  <si>
    <t>airlinguscargoord@airgeneral.com / EIORD@AIRGENERAL.COM</t>
  </si>
  <si>
    <t>10. SILK WAY WEST AIRLINES (501)</t>
  </si>
  <si>
    <t>7L</t>
  </si>
  <si>
    <t>E208</t>
  </si>
  <si>
    <t>718-928-2900 / 718-880-3503</t>
  </si>
  <si>
    <t>JFK9OFFICEMGMP@CASUSA.COM</t>
  </si>
  <si>
    <t>HAF9</t>
  </si>
  <si>
    <t>773-683-3940 x4</t>
  </si>
  <si>
    <t>orddispatch@landairexpress.com  /  7lordops@allianceground.com</t>
  </si>
  <si>
    <t>MEM</t>
  </si>
  <si>
    <t>AIRMEM &lt;AIRMEM@acceleratedusa.com&gt;</t>
  </si>
  <si>
    <t>F475 GHE(FORWARD AIR)</t>
  </si>
  <si>
    <t xml:space="preserve">Shevon Badree &lt;SBadree@forwardair.com&gt;
_FA_JFK@FORWARDAIR.COM
</t>
  </si>
  <si>
    <t>11. AMERICAN AIRLINES (001)</t>
  </si>
  <si>
    <t>AA</t>
  </si>
  <si>
    <t>E792</t>
  </si>
  <si>
    <t>(718) 301-8983</t>
  </si>
  <si>
    <t>jfkcargo.import@aa.com</t>
  </si>
  <si>
    <t>L866</t>
  </si>
  <si>
    <t xml:space="preserve">	(678) 926-9577 x 3</t>
  </si>
  <si>
    <t>atlaaops@swissport.com</t>
  </si>
  <si>
    <t>M679</t>
  </si>
  <si>
    <t>305-870-4150/51</t>
  </si>
  <si>
    <t>MIACARGO.IMPORT@AA.COM</t>
  </si>
  <si>
    <t>E441</t>
  </si>
  <si>
    <t xml:space="preserve">	(973) 685-3580</t>
  </si>
  <si>
    <t>I317</t>
  </si>
  <si>
    <t>(773) 686-2629</t>
  </si>
  <si>
    <t>ordcargoimport@aa.com</t>
  </si>
  <si>
    <t>CHARLOTTE CTL</t>
  </si>
  <si>
    <t>L387</t>
  </si>
  <si>
    <t>800-227-4622 x3</t>
  </si>
  <si>
    <t>cargo.reservations@AA.com</t>
  </si>
  <si>
    <t>Dallas</t>
  </si>
  <si>
    <t>T275</t>
  </si>
  <si>
    <t>800-227-4622*3</t>
  </si>
  <si>
    <t>Khalifa, Fatima &lt;Fatima.Khalifa@aa.com&gt;; DFWCARGO, Gateway Service Recovery &lt;DFWCargo.Customerservice@aa.com&gt;; airportinfocenter@dfwairport.com; AMS, DFWCargo &lt;DFWCargo.AMS@aa.com&gt;; Vandiver, Kathleen &lt;Kathleen.Vandiver@aa.com&gt;; King, Corby &lt;Corby.King@aa.com&gt;; Abdelrahman, Tanzeel &lt;Tanzeel.Abdelrahman@aa.com&gt;; Simon, Trevon &lt;Trevon.Simon@aa.com&gt;</t>
  </si>
  <si>
    <t>12. PHILIPINES AIRLINES (079)</t>
  </si>
  <si>
    <t>PR</t>
  </si>
  <si>
    <t>E203</t>
  </si>
  <si>
    <t>718-244-0153</t>
  </si>
  <si>
    <t>jfkprcargo@wfs.aero</t>
  </si>
  <si>
    <t>done</t>
  </si>
  <si>
    <t>W436</t>
  </si>
  <si>
    <t>310-988-7358</t>
  </si>
  <si>
    <t>PROPS@MERCURYAIR.COM / CARGOCSA.MNL@GMAIL.COM (ORIGIN) / MNLSEPR@PAL.COM.PH</t>
  </si>
  <si>
    <t>13. AIR FRANCE / KLM AIRLINES (057)</t>
  </si>
  <si>
    <t>AF</t>
  </si>
  <si>
    <t>E813/E781</t>
  </si>
  <si>
    <t xml:space="preserve">WFS 718-208-4297 // 800-556-9000/ DELTA 800 352 2746 // AF JFK 718 208 4397 KLM-1800-352-2746 </t>
  </si>
  <si>
    <t>CUSTOMERSERVICE.JFK@AFKLMPCARGO.COM // DLCARGO@DELTA.COM</t>
  </si>
  <si>
    <t>L121</t>
  </si>
  <si>
    <t>(707) 626-5034 // NOT RESPONDING // 800-556-9000</t>
  </si>
  <si>
    <t>1-800-352-2746 // DLcargo@delta.com</t>
  </si>
  <si>
    <t>O419</t>
  </si>
  <si>
    <t>3058742450 // 3058693614</t>
  </si>
  <si>
    <t>Negro, Rosa Maria (MIA CA QS) - AF &lt;ronegro@airfrance.fr&gt;  Rocio Jorge &lt;Rocio.Jorge@wfs.aero&gt;; Dealvarez-ext@airfrance.fr; Salman Nabil (TEU) &lt;sb@teuinc.com&gt;; customerservice.seusa@afklmpcargo.com; AFMIA &lt;afmia@wfs.aero&gt;; sequote@afkldlcargo.com Negro, Rosa Maria (MIA CA QS) - AF &lt;ronegro@airfrance.fr&gt;  MIACARGO@THY.COM; COUNTERIMPORT@LATAM.COM</t>
  </si>
  <si>
    <t>E437</t>
  </si>
  <si>
    <t>973-242-0096</t>
  </si>
  <si>
    <t>BOSTON</t>
  </si>
  <si>
    <t>A340</t>
  </si>
  <si>
    <t>617-561-2600</t>
  </si>
  <si>
    <t>AF / KL</t>
  </si>
  <si>
    <t>S987/S991</t>
  </si>
  <si>
    <t>281-214-2260</t>
  </si>
  <si>
    <t>W433/W377</t>
  </si>
  <si>
    <t>WFS thru EPIC</t>
  </si>
  <si>
    <t>310-646-3620 EXT 804</t>
  </si>
  <si>
    <t>LAXAFOP@WFS.AERO</t>
  </si>
  <si>
    <t>Z480</t>
  </si>
  <si>
    <t>650-737-4881</t>
  </si>
  <si>
    <t>BWI</t>
  </si>
  <si>
    <t>C509</t>
  </si>
  <si>
    <t>844-811-8889</t>
  </si>
  <si>
    <t>custserv@forwardair.com; tcalvert@forwardair.com</t>
  </si>
  <si>
    <t>14. SAUDI ARABIAN AIRLINES (065)</t>
  </si>
  <si>
    <t>SV</t>
  </si>
  <si>
    <t>F348</t>
  </si>
  <si>
    <t>718-928-2900, 7188803503
718-880-3473</t>
  </si>
  <si>
    <t>jfk9fv@wfs.aero</t>
  </si>
  <si>
    <t>dONE</t>
  </si>
  <si>
    <t>W821</t>
  </si>
  <si>
    <t>310-704-6491</t>
  </si>
  <si>
    <t>15. ATOT EXPRESS (ATOT)</t>
  </si>
  <si>
    <t>ATOT</t>
  </si>
  <si>
    <t>F278</t>
  </si>
  <si>
    <t>718-244-5500</t>
  </si>
  <si>
    <t>ORLANDO, FL</t>
  </si>
  <si>
    <t>I304</t>
  </si>
  <si>
    <t>16. TAP AIR PORTUGAL (047)</t>
  </si>
  <si>
    <t>TP</t>
  </si>
  <si>
    <t>EAA7</t>
  </si>
  <si>
    <t>718-244-5304</t>
  </si>
  <si>
    <t>M503/O967</t>
  </si>
  <si>
    <t>305-492-8620 / (305) 397-0161 X3</t>
  </si>
  <si>
    <t>aaraujo@agi.aero; yperera@agi.aero; miaoffice@allianceground.com</t>
  </si>
  <si>
    <t>el</t>
  </si>
  <si>
    <t>17. BRUSSELS AIRLINES (082)</t>
  </si>
  <si>
    <t>SN</t>
  </si>
  <si>
    <t>E127</t>
  </si>
  <si>
    <t>516-612-0425</t>
  </si>
  <si>
    <t>18. ASIANA AIRLINES (988)</t>
  </si>
  <si>
    <t>OZ</t>
  </si>
  <si>
    <t>F247</t>
  </si>
  <si>
    <t>718- 244-7000</t>
  </si>
  <si>
    <t>Y800</t>
  </si>
  <si>
    <t>FORWARD AIR</t>
  </si>
  <si>
    <t>C956</t>
  </si>
  <si>
    <t>SDF (Forward Air)</t>
  </si>
  <si>
    <t>K851</t>
  </si>
  <si>
    <t>502-966-6069</t>
  </si>
  <si>
    <t>SAX7</t>
  </si>
  <si>
    <t>SWISSPORT (ATLANTA)</t>
  </si>
  <si>
    <t>L324</t>
  </si>
  <si>
    <t>404-767-8785 EXT 6268</t>
  </si>
  <si>
    <t>CHICAGO (Alliance Ground)</t>
  </si>
  <si>
    <t>I557</t>
  </si>
  <si>
    <t>773-570-6432 OPT 1
customerservice@allianceground.com</t>
  </si>
  <si>
    <t>19. ROYAL AIR MAROC (147)</t>
  </si>
  <si>
    <t>AT</t>
  </si>
  <si>
    <t>F333</t>
  </si>
  <si>
    <t xml:space="preserve">800-LH-CARGO  Lissette Sosa 
800-542-2746 Lufthansa
</t>
  </si>
  <si>
    <t xml:space="preserve">jfkimport@dlh.de  </t>
  </si>
  <si>
    <t>20. KUWAIT AIRWAYS (229)</t>
  </si>
  <si>
    <t>KU</t>
  </si>
  <si>
    <t>F331</t>
  </si>
  <si>
    <t xml:space="preserve">718-553-6315 ,
direct number 347 960 5598 </t>
  </si>
  <si>
    <t xml:space="preserve">Lufthansa Cargo </t>
  </si>
  <si>
    <t>18005422746 
for KA imports press 5,535,3</t>
  </si>
  <si>
    <t>21. AZERBAIJAN AIRLINE (501)</t>
  </si>
  <si>
    <t>JFK</t>
  </si>
  <si>
    <t>J2</t>
  </si>
  <si>
    <t>E196</t>
  </si>
  <si>
    <t>718-880-3520</t>
  </si>
  <si>
    <t>JFK9CUSTOMERSERVICE@WFS.AERO</t>
  </si>
  <si>
    <t>Explore</t>
  </si>
  <si>
    <t>22. KALITTA AIR (272)</t>
  </si>
  <si>
    <t>K4</t>
  </si>
  <si>
    <t>F639</t>
  </si>
  <si>
    <t>718-632-5566</t>
  </si>
  <si>
    <t>hgljfk@hanjin.com</t>
  </si>
  <si>
    <t>COLUMBUS</t>
  </si>
  <si>
    <t>K537</t>
  </si>
  <si>
    <t>H339</t>
  </si>
  <si>
    <t>Linda  847-737-2329
WFS 838-patton DR Chicago 60666
ordk4import@wfs.aero.com</t>
  </si>
  <si>
    <t>23. CARGOLUX AIRLINES (172)</t>
  </si>
  <si>
    <t>CV</t>
  </si>
  <si>
    <t>F368</t>
  </si>
  <si>
    <t>jfksales@cargolux.com</t>
  </si>
  <si>
    <t>M706</t>
  </si>
  <si>
    <t>(305) 492-1020</t>
  </si>
  <si>
    <t>24. LOT POLISH AIRLINES (080)</t>
  </si>
  <si>
    <t>LO</t>
  </si>
  <si>
    <t>F329</t>
  </si>
  <si>
    <t>718-656-2674</t>
  </si>
  <si>
    <t>EWR, NEWARK</t>
  </si>
  <si>
    <t>E437 (choice aviation services)</t>
  </si>
  <si>
    <t>862-444-2323</t>
  </si>
  <si>
    <t>25. KOREAN AIRLINES (180)</t>
  </si>
  <si>
    <t>KE</t>
  </si>
  <si>
    <t>Y272</t>
  </si>
  <si>
    <t>718-751-2000 // 310-417-5288</t>
  </si>
  <si>
    <t>E841</t>
  </si>
  <si>
    <t>M371</t>
  </si>
  <si>
    <t>703-651-1329</t>
  </si>
  <si>
    <t>I803</t>
  </si>
  <si>
    <t xml:space="preserve">773-894-8050 (EXPORT)
773-917-2090  x 1 (IMPORTS)  </t>
  </si>
  <si>
    <t>773-894-8050</t>
  </si>
  <si>
    <t>M966</t>
  </si>
  <si>
    <t>404-763-0203</t>
  </si>
  <si>
    <t>26. ALL NIPPON AIRWAYS (205)</t>
  </si>
  <si>
    <t>NH</t>
  </si>
  <si>
    <t>Y264</t>
  </si>
  <si>
    <t>310-258-6100</t>
  </si>
  <si>
    <t>F341</t>
  </si>
  <si>
    <t>O812</t>
  </si>
  <si>
    <t>703-661-6954</t>
  </si>
  <si>
    <t>I629</t>
  </si>
  <si>
    <t>IAH, TX</t>
  </si>
  <si>
    <t>S984</t>
  </si>
  <si>
    <t xml:space="preserve">832 626 7585 </t>
  </si>
  <si>
    <t>ALL_NIPPON_AIRLINES@STAFFMANAGEMENT.COM || dnataperishablecenteriah@dnata.us || Aaliyah Jordan &lt;aaliyah.jordan@dnata.us&gt;</t>
  </si>
  <si>
    <t>M031</t>
  </si>
  <si>
    <t>704-357-9337</t>
  </si>
  <si>
    <t>469-629-0605</t>
  </si>
  <si>
    <t>DFWFSKZ &lt;dfwfskz@nca.aero&gt;</t>
  </si>
  <si>
    <t>27. CHINA CARGO AIRLINE (112)</t>
  </si>
  <si>
    <t>CK</t>
  </si>
  <si>
    <t>Y850</t>
  </si>
  <si>
    <t>laxops &lt;laxops@wfs.aero&gt;</t>
  </si>
  <si>
    <t>310-342-7830</t>
  </si>
  <si>
    <t>M836</t>
  </si>
  <si>
    <t>407-857-9212</t>
  </si>
  <si>
    <t>U796</t>
  </si>
  <si>
    <t>847-427-1275/817-481-5858</t>
  </si>
  <si>
    <t>I564</t>
  </si>
  <si>
    <t>773-686-1905 x 3 (Dipti)</t>
  </si>
  <si>
    <t>ord.ckfi@swissport.com || Forward Air ORF Users &lt;FA_ORF@forwardair.com&gt;</t>
  </si>
  <si>
    <t>Nashville</t>
  </si>
  <si>
    <t>Q622</t>
  </si>
  <si>
    <t>615-832-5909</t>
  </si>
  <si>
    <t>TAMPA</t>
  </si>
  <si>
    <t>N252</t>
  </si>
  <si>
    <t>Forward Air ORF Users &lt;FA_ORF@forwardair.com&gt;</t>
  </si>
  <si>
    <t>28. CHINA SOUTHERN AIRLINES (784)</t>
  </si>
  <si>
    <t>CZ</t>
  </si>
  <si>
    <t>W170</t>
  </si>
  <si>
    <t>(310) 649-1500 // 310-484-1810 // 310-873-6208 ext 311 (CS)</t>
  </si>
  <si>
    <t>SAN ANTONIO, TX</t>
  </si>
  <si>
    <t>V244</t>
  </si>
  <si>
    <t>I546</t>
  </si>
  <si>
    <t>773-717-8430
import CHINA SOUTHERN 773-683-3940</t>
  </si>
  <si>
    <t>FORWARD AIR CHICAGO 847-297-5730</t>
  </si>
  <si>
    <t>T885</t>
  </si>
  <si>
    <t>L804</t>
  </si>
  <si>
    <t xml:space="preserve">773-683-3940 (xt 3)  // </t>
  </si>
  <si>
    <t>LAG5</t>
  </si>
  <si>
    <t>E188</t>
  </si>
  <si>
    <t>718-553-2190</t>
  </si>
  <si>
    <t>CZJFK &lt;CZJFK@allianceground.com&gt;</t>
  </si>
  <si>
    <t>PHILADELPHIA</t>
  </si>
  <si>
    <t>C481</t>
  </si>
  <si>
    <r>
      <rPr>
        <rFont val="Calibri"/>
        <b/>
        <color rgb="FF000000"/>
        <sz val="11.0"/>
      </rPr>
      <t xml:space="preserve">CHINA SOUTHERN AIRLINES </t>
    </r>
    <r>
      <rPr>
        <rFont val="Calibri"/>
        <color rgb="FF000000"/>
        <sz val="11.0"/>
      </rPr>
      <t xml:space="preserve">
844-811-8889
(FORWARD AIR FACILITY)</t>
    </r>
  </si>
  <si>
    <t>PHL_IMPORTS@FORWARDAIR.COM</t>
  </si>
  <si>
    <t>29. CHINA EASTERN AIRLINE</t>
  </si>
  <si>
    <t>MU</t>
  </si>
  <si>
    <t>F585</t>
  </si>
  <si>
    <t>718-244-0153 x 1 x 5</t>
  </si>
  <si>
    <t>29. TAM TRANSPORTERS (549)</t>
  </si>
  <si>
    <t>JJ</t>
  </si>
  <si>
    <r>
      <rPr>
        <rFont val="Times New Roman"/>
        <color rgb="FF3C78D8"/>
        <sz val="18.0"/>
      </rPr>
      <t xml:space="preserve">M652 </t>
    </r>
    <r>
      <rPr>
        <rFont val="Times New Roman"/>
        <color rgb="FF3C78D8"/>
        <sz val="18.0"/>
      </rPr>
      <t>(HANDLED NY LAN AIR)</t>
    </r>
  </si>
  <si>
    <t>305-874-2700</t>
  </si>
  <si>
    <t>E063</t>
  </si>
  <si>
    <t>718-889-7720</t>
  </si>
  <si>
    <t>O752</t>
  </si>
  <si>
    <t>407-454-5130, #2</t>
  </si>
  <si>
    <t>LOGAN, MA</t>
  </si>
  <si>
    <t>W059</t>
  </si>
  <si>
    <t>M332</t>
  </si>
  <si>
    <t>305-599-3161</t>
  </si>
  <si>
    <t>30. ATLAS AIR (369)</t>
  </si>
  <si>
    <t>5Y</t>
  </si>
  <si>
    <t>UPDATE ON 12/30/2025 BY RAZA TAREEN</t>
  </si>
  <si>
    <t>Costumer Service: (305)777-7295</t>
  </si>
  <si>
    <t>Claudia.Acosta@wfs.aero</t>
  </si>
  <si>
    <t>9147018000( Atlas helpline)</t>
  </si>
  <si>
    <t>F544</t>
  </si>
  <si>
    <t>718-880-3554
718-880-3420</t>
  </si>
  <si>
    <t>Abinash 9148987471 ( groundopsjfk@atlasair.com  )</t>
  </si>
  <si>
    <t>JFK (BUIDLING 21)</t>
  </si>
  <si>
    <t>E115</t>
  </si>
  <si>
    <t>718-880-3420
718-880-3421/25</t>
  </si>
  <si>
    <t>1305 704 0980</t>
  </si>
  <si>
    <t>31. AIR EUROPA (745)</t>
  </si>
  <si>
    <t>UX</t>
  </si>
  <si>
    <t>305-492-8620</t>
  </si>
  <si>
    <t>S378</t>
  </si>
  <si>
    <t>718-673-2414</t>
  </si>
  <si>
    <t>czjfk@allianceground.com</t>
  </si>
  <si>
    <t>32. AL YAMDA, YAMEN (328)</t>
  </si>
  <si>
    <t>DY</t>
  </si>
  <si>
    <t>O967</t>
  </si>
  <si>
    <t> 786-507-0462</t>
  </si>
  <si>
    <t>33. VIRGIN ATLANTA CARGO (932)</t>
  </si>
  <si>
    <t>VS</t>
  </si>
  <si>
    <t>N584</t>
  </si>
  <si>
    <t>305-3970161</t>
  </si>
  <si>
    <t>Customer.Relations-cargo@fly.virgin.com</t>
  </si>
  <si>
    <t>F149</t>
  </si>
  <si>
    <t>718-995-4100 * 1 / 718-683-7304</t>
  </si>
  <si>
    <t>Customer.Relations-cargo@fly.virgin.com
cargo@fly.virgin.com
VsJfkLeads@delta.com
JFKWCC.CGO@delta.com jfkcargo.ops@fly.virgin.com</t>
  </si>
  <si>
    <t>LOS ANGELES</t>
  </si>
  <si>
    <t>Y652/W218</t>
  </si>
  <si>
    <t xml:space="preserve">310 342 7830 </t>
  </si>
  <si>
    <t>laxvswfs@wfs.aero</t>
  </si>
  <si>
    <t>H112</t>
  </si>
  <si>
    <t>L823</t>
  </si>
  <si>
    <t>NEW ORLEANS, LA</t>
  </si>
  <si>
    <t>Q710</t>
  </si>
  <si>
    <t>E624</t>
  </si>
  <si>
    <t>Z559</t>
  </si>
  <si>
    <t>650-821-0895(6)</t>
  </si>
  <si>
    <t>L879</t>
  </si>
  <si>
    <t>704-395-1132</t>
  </si>
  <si>
    <t>MO</t>
  </si>
  <si>
    <t>K542</t>
  </si>
  <si>
    <t>DTW</t>
  </si>
  <si>
    <t>H963</t>
  </si>
  <si>
    <t>FORWARD: 734-9416775</t>
  </si>
  <si>
    <t>8008286822- VIRGIN ATLANTIC</t>
  </si>
  <si>
    <t>34. MARTIN AIR HOLLAND (074)</t>
  </si>
  <si>
    <t>MP</t>
  </si>
  <si>
    <t>35. IBERIA AIRLINES (075)</t>
  </si>
  <si>
    <t>IB</t>
  </si>
  <si>
    <t>M642</t>
  </si>
  <si>
    <t>K535</t>
  </si>
  <si>
    <t>614-409-2900</t>
  </si>
  <si>
    <t>imports.cmh@midwestexpressco.com</t>
  </si>
  <si>
    <t>36. SKY LEASE INC (307)</t>
  </si>
  <si>
    <t>GG</t>
  </si>
  <si>
    <t>N834</t>
  </si>
  <si>
    <t>(305) 871-8663</t>
  </si>
  <si>
    <t>37. AEROMEXICO (139)</t>
  </si>
  <si>
    <t>AM</t>
  </si>
  <si>
    <t>(305) 526-1995</t>
  </si>
  <si>
    <t>38. CARGO JET AIRLINES</t>
  </si>
  <si>
    <t>W8</t>
  </si>
  <si>
    <t>J766</t>
  </si>
  <si>
    <t>847-228-1744</t>
  </si>
  <si>
    <t>39. Swiss SAS Cargo c/o CAS/WFS (724)</t>
  </si>
  <si>
    <t>LX</t>
  </si>
  <si>
    <t>(973) 804-2800</t>
  </si>
  <si>
    <t>E827</t>
  </si>
  <si>
    <t>epic.epicxp.com</t>
  </si>
  <si>
    <t>724-572-8211</t>
  </si>
  <si>
    <t>Y370</t>
  </si>
  <si>
    <t>724 572 8255/ 310-752-1990</t>
  </si>
  <si>
    <t>cargolax@swiss.com, lxops@wfs.aero</t>
  </si>
  <si>
    <t>mtalukder@wfs.aero , cargojfk@swiss.com</t>
  </si>
  <si>
    <t>40. TAS</t>
  </si>
  <si>
    <t>E045</t>
  </si>
  <si>
    <t>(973) 286-8400</t>
  </si>
  <si>
    <t>41. CAS</t>
  </si>
  <si>
    <t>(847) 750-7058</t>
  </si>
  <si>
    <t>42. AMERJET INT. AIRLINES (810)</t>
  </si>
  <si>
    <t>M6</t>
  </si>
  <si>
    <t>F147</t>
  </si>
  <si>
    <t>718-656-8356</t>
  </si>
  <si>
    <t>43. AARON AIRLINES (607)</t>
  </si>
  <si>
    <t>AB</t>
  </si>
  <si>
    <r>
      <rPr>
        <rFont val="Times New Roman"/>
        <color rgb="FF3C78D8"/>
        <sz val="18.0"/>
      </rPr>
      <t xml:space="preserve">F792 </t>
    </r>
    <r>
      <rPr>
        <rFont val="Times New Roman"/>
        <color rgb="FF3C78D8"/>
        <sz val="18.0"/>
      </rPr>
      <t>(DELT BY ETIHAD AIRLINES)</t>
    </r>
  </si>
  <si>
    <t>44. Lufthansa (020)</t>
  </si>
  <si>
    <t>LH</t>
  </si>
  <si>
    <t>E821/E783</t>
  </si>
  <si>
    <t>jfkimport@dlh.de</t>
  </si>
  <si>
    <t>800-542-2746x5 code 535</t>
  </si>
  <si>
    <t>A335</t>
  </si>
  <si>
    <t>boshandling@dlh.de</t>
  </si>
  <si>
    <t>(617) 567-4620
617 997 0566</t>
  </si>
  <si>
    <t>LH/EW</t>
  </si>
  <si>
    <t>E964/E045/EAC9</t>
  </si>
  <si>
    <t>973-689-8462</t>
  </si>
  <si>
    <t>DENVER, CO</t>
  </si>
  <si>
    <t>K012</t>
  </si>
  <si>
    <t>MIAMI, MIA</t>
  </si>
  <si>
    <t>M680</t>
  </si>
  <si>
    <t>miaimport@dlh.de</t>
  </si>
  <si>
    <t>305-871-5365</t>
  </si>
  <si>
    <t>45. AIR SERBIA (610)</t>
  </si>
  <si>
    <t>JU</t>
  </si>
  <si>
    <t>EAA8</t>
  </si>
  <si>
    <t>718-928-9382</t>
  </si>
  <si>
    <t>(847) 228-1744</t>
  </si>
  <si>
    <t>46. TNT AIRWAYS</t>
  </si>
  <si>
    <t>3V</t>
  </si>
  <si>
    <t>800-366-6845</t>
  </si>
  <si>
    <t>47. SWISS INT AIRLINE (724)</t>
  </si>
  <si>
    <t>718 215 2005</t>
  </si>
  <si>
    <t>(724) 572-8200 / (310) 752-1991</t>
  </si>
  <si>
    <t>WASHINGTON</t>
  </si>
  <si>
    <t>LAN8</t>
  </si>
  <si>
    <t>48. LAN AIRLINE S.A</t>
  </si>
  <si>
    <t>305 874 2700</t>
  </si>
  <si>
    <t>49. ROYAL JORDANIAN (512)</t>
  </si>
  <si>
    <t>RJ</t>
  </si>
  <si>
    <t>E848</t>
  </si>
  <si>
    <t>718-553-2190/2753 EXT.3,
T-212-949-0060 ex  4172</t>
  </si>
  <si>
    <t>jfkffrj@rj.com; Hmoud.Manasir@rj.com; Daniel.Durso@rj.com; VDaniel@allianceground.com; RJJFKStaff@allianceground.com; MABrown@allianceground.com</t>
  </si>
  <si>
    <t>H123</t>
  </si>
  <si>
    <t>773-686-5840 / 773-683-3940 EXT 7 / 212-949-0060 ex 4172</t>
  </si>
  <si>
    <t>ORDRJOPS@allianceground.com</t>
  </si>
  <si>
    <t>_fa_mco@forwardair.com</t>
  </si>
  <si>
    <t>50. ETHIOPIAN AIRLINE (071)</t>
  </si>
  <si>
    <t>ET</t>
  </si>
  <si>
    <t>973-804-2800</t>
  </si>
  <si>
    <t>HAQ9</t>
  </si>
  <si>
    <t>847-957-0969</t>
  </si>
  <si>
    <t>swissport</t>
  </si>
  <si>
    <t>V079</t>
  </si>
  <si>
    <t>Customer Care &lt;custserv@forwardair.com&gt;</t>
  </si>
  <si>
    <t>52. TAP AIR PORTUGAL (047)</t>
  </si>
  <si>
    <t>1-718-244-5302</t>
  </si>
  <si>
    <t>M0933</t>
  </si>
  <si>
    <t>53. AIR CANADA (014)</t>
  </si>
  <si>
    <t>AC</t>
  </si>
  <si>
    <t>289-371-1970</t>
  </si>
  <si>
    <t>718-880-3566
718-244-5500</t>
  </si>
  <si>
    <t>b151cl@wfs.aero</t>
  </si>
  <si>
    <t>W358</t>
  </si>
  <si>
    <t>DET</t>
  </si>
  <si>
    <t>I124</t>
  </si>
  <si>
    <t xml:space="preserve">3 Free days // Need to double check </t>
  </si>
  <si>
    <t>734-710-0373</t>
  </si>
  <si>
    <t>sking@cfsdtw.com // ISC TO COMMERCIAL FREIGHT SERVICES INC</t>
  </si>
  <si>
    <t>314-209-0751</t>
  </si>
  <si>
    <t>BNA</t>
  </si>
  <si>
    <t>Q088</t>
  </si>
  <si>
    <t>(615) 367-0949</t>
  </si>
  <si>
    <t>53. AIR CANADA (624)</t>
  </si>
  <si>
    <t>773-686-3600 Brian</t>
  </si>
  <si>
    <t>ordimport@aircanada.ca</t>
  </si>
  <si>
    <t>54. ICE LAND CARGO</t>
  </si>
  <si>
    <t>F347</t>
  </si>
  <si>
    <t>55. NORWEGIAN AIRLINE (328)</t>
  </si>
  <si>
    <t>310-242-4550</t>
  </si>
  <si>
    <t>56. SWISS WORLD CARGO (724)</t>
  </si>
  <si>
    <t>WASHINGTON, IAD</t>
  </si>
  <si>
    <t>703-665-2944</t>
  </si>
  <si>
    <t>724-572-8255</t>
  </si>
  <si>
    <t>724-572-8222</t>
  </si>
  <si>
    <t>57. POLAR AIR CARGO (403)</t>
  </si>
  <si>
    <t>PO</t>
  </si>
  <si>
    <t>F324</t>
  </si>
  <si>
    <t>718-880-3554</t>
  </si>
  <si>
    <t>58. AIR CHINA (999)</t>
  </si>
  <si>
    <t>CA</t>
  </si>
  <si>
    <t>E006</t>
  </si>
  <si>
    <t>$100EPIC</t>
  </si>
  <si>
    <t>703-661-1782</t>
  </si>
  <si>
    <t>CHICAGO, IL</t>
  </si>
  <si>
    <t>J306</t>
  </si>
  <si>
    <t>773-570-6432</t>
  </si>
  <si>
    <t>acc@maestrocargo.com, transfers@maestrocargo.com, CS1@maestrocargo.com, frontcounter@maestrocargo.com</t>
  </si>
  <si>
    <t>HOUSTON GEO</t>
  </si>
  <si>
    <t>T281</t>
  </si>
  <si>
    <t>LA</t>
  </si>
  <si>
    <t>310-342-7830 x 3</t>
  </si>
  <si>
    <t>SPECIAL SERVICES</t>
  </si>
  <si>
    <t>404-684-6805 / 404-766-7762</t>
  </si>
  <si>
    <t>atl@specialservice.net</t>
  </si>
  <si>
    <t>CHICAGO, IL (FARO)</t>
  </si>
  <si>
    <t>HBE2</t>
  </si>
  <si>
    <t xml:space="preserve">614-497-1700 </t>
  </si>
  <si>
    <t>TGT TRUCKING</t>
  </si>
  <si>
    <t>516-792-3354</t>
  </si>
  <si>
    <t>59. SINGAPOR AIRLINES (618)</t>
  </si>
  <si>
    <t>SQ</t>
  </si>
  <si>
    <t>Y275</t>
  </si>
  <si>
    <t xml:space="preserve"> 424-451-3944</t>
  </si>
  <si>
    <t>Import Cargo LAX &lt;importcargo_LAX@singaporeair.com.sg&gt;</t>
  </si>
  <si>
    <t>F259</t>
  </si>
  <si>
    <t>$110EPIC</t>
  </si>
  <si>
    <t>718-880-3422</t>
  </si>
  <si>
    <t>Elizabeth_Estremo@singaporeair.com.sg</t>
  </si>
  <si>
    <t>EAR6</t>
  </si>
  <si>
    <t>Mark Etwaroo &lt;metwaroo@skylinels.com&gt; , jfkops2@skylinels.com</t>
  </si>
  <si>
    <t>718-656-1010 / 862-333-1245</t>
  </si>
  <si>
    <t>Maria_mero@singaporeair.com.sg</t>
  </si>
  <si>
    <t>60. VIRGIN AUSTRALIA INTL (603)</t>
  </si>
  <si>
    <t>VA</t>
  </si>
  <si>
    <t>W218</t>
  </si>
  <si>
    <t>718-995-4100</t>
  </si>
  <si>
    <t>61. HONG KONG AIRLINES (851)</t>
  </si>
  <si>
    <t>HX</t>
  </si>
  <si>
    <t>WAP1</t>
  </si>
  <si>
    <t>62. XIAMEN AIR (731)</t>
  </si>
  <si>
    <t>MF</t>
  </si>
  <si>
    <t>WAL4</t>
  </si>
  <si>
    <t>310-258-6100 EXT 1322, 1184</t>
  </si>
  <si>
    <t>63. UKRANIE INTERNATIONAL (566)</t>
  </si>
  <si>
    <t>PS</t>
  </si>
  <si>
    <t>E176</t>
  </si>
  <si>
    <t>718 244-0153</t>
  </si>
  <si>
    <t>64. HAINAN AIRLINES CO. Ltd (880)</t>
  </si>
  <si>
    <t>HU</t>
  </si>
  <si>
    <t>A375</t>
  </si>
  <si>
    <t>O754</t>
  </si>
  <si>
    <t>65. AEROFLOT RUSSIAN INT (555)</t>
  </si>
  <si>
    <t>SU</t>
  </si>
  <si>
    <t>F311</t>
  </si>
  <si>
    <t>T: +1 718 656 3935</t>
  </si>
  <si>
    <t>jfkimport@wfs.aero // JFK75Mods@wfs.aero // Edwin.Arnett@wfs.aero</t>
  </si>
  <si>
    <t>66. CHINA AIRLINE (297)</t>
  </si>
  <si>
    <t>CI</t>
  </si>
  <si>
    <t>972-574-2204</t>
  </si>
  <si>
    <t>773-686-1905</t>
  </si>
  <si>
    <t>Y280</t>
  </si>
  <si>
    <t>718-9958770</t>
  </si>
  <si>
    <t>robertchiu@china-airlines.com</t>
  </si>
  <si>
    <t>E838</t>
  </si>
  <si>
    <t>NIL</t>
  </si>
  <si>
    <t>LC12 - O350</t>
  </si>
  <si>
    <t>67. DHL AIRWAYS INC (615)</t>
  </si>
  <si>
    <t>D0</t>
  </si>
  <si>
    <t>800-225-5345</t>
  </si>
  <si>
    <t>MSP</t>
  </si>
  <si>
    <t>800-722-0081</t>
  </si>
  <si>
    <t>68. NIPPON CARGO AIRLINES (933)</t>
  </si>
  <si>
    <t>KZ</t>
  </si>
  <si>
    <t>E851</t>
  </si>
  <si>
    <t>69. Pegasus CARGO AIRLINES</t>
  </si>
  <si>
    <t>310-646-3921</t>
  </si>
  <si>
    <t>70. Japan AIRLINES (131)</t>
  </si>
  <si>
    <t>JL</t>
  </si>
  <si>
    <t>mercury air cargo (Y270)</t>
  </si>
  <si>
    <t>https://portal.mercuryaircargo.com</t>
  </si>
  <si>
    <t>(310) 646-3640</t>
  </si>
  <si>
    <t>JAL MAC &lt;jalmac@mercuryair.com&gt; // jal.mac@wfsaero.com</t>
  </si>
  <si>
    <t>M933</t>
  </si>
  <si>
    <t>$$120</t>
  </si>
  <si>
    <t>ATLCSR@ACCELERATEDUSA.COM</t>
  </si>
  <si>
    <t>CHICAGO
 630-616-8925</t>
  </si>
  <si>
    <t>SAN ANTONIO</t>
  </si>
  <si>
    <t>BOSTON - LOGAN</t>
  </si>
  <si>
    <t>$$195</t>
  </si>
  <si>
    <t>EX-STCARGO-BOS-HU@SWISSPORT.COM//EX-SPCARGO-BOS-HU@swissport.com</t>
  </si>
  <si>
    <t>CLTIMPORT@ACCELERATEDUSA.COM</t>
  </si>
  <si>
    <t>704-357-0990</t>
  </si>
  <si>
    <t>PRO # 4098729
ATL ACCELERATED 404-765-6400</t>
  </si>
  <si>
    <t>W698</t>
  </si>
  <si>
    <t>$$160</t>
  </si>
  <si>
    <t>SFOAGI@ALLIANCEGROUND.COM</t>
  </si>
  <si>
    <t>Alliance GROUND</t>
  </si>
  <si>
    <t>650-821-0855</t>
  </si>
  <si>
    <t>ACCELERATED CARGO</t>
  </si>
  <si>
    <t>LEOLAD@ACCELERATEDUSA.COM
CLT@ACCELERATEDUSA.COM</t>
  </si>
  <si>
    <t xml:space="preserve">404-765-6400
</t>
  </si>
  <si>
    <t>Absa (Latam)</t>
  </si>
  <si>
    <t>Lag5</t>
  </si>
  <si>
    <t xml:space="preserve">MCO&lt;MCO@acceleratedusa.com&gt;
</t>
  </si>
  <si>
    <t>Q754</t>
  </si>
  <si>
    <t xml:space="preserve">AIRMEM&lt;AIRMEM@acceleratedusa.com&gt;
</t>
  </si>
  <si>
    <t>AZUL</t>
  </si>
  <si>
    <t>ATL@acceleratedUSA.Com</t>
  </si>
  <si>
    <t>M358</t>
  </si>
  <si>
    <t xml:space="preserve">ruben@acceleratedusa.com
mia@acceleratedusa.com
</t>
  </si>
  <si>
    <t>786-584-9668 / 786-530-2041</t>
  </si>
  <si>
    <t>LAND AND AIR CARGO</t>
  </si>
  <si>
    <t>404-675-4515</t>
  </si>
  <si>
    <t>webmastercargo@jal.com; JALJFKIMPORT@WFS.AERO</t>
  </si>
  <si>
    <t>71. EVA AIRWAYS (695)</t>
  </si>
  <si>
    <t>BR</t>
  </si>
  <si>
    <t>M735</t>
  </si>
  <si>
    <t>INFO@PELOGISTICSVC.COM</t>
  </si>
  <si>
    <t>305-218-6091</t>
  </si>
  <si>
    <t>O976</t>
  </si>
  <si>
    <t>BRATLIMP@ALLIANCEGROUND.COM</t>
  </si>
  <si>
    <t>72. Suparna Airlines (Y8)</t>
  </si>
  <si>
    <t>Y8</t>
  </si>
  <si>
    <t>73 Nippon Cargo Airlines</t>
  </si>
  <si>
    <t>Y274</t>
  </si>
  <si>
    <t>310-417-0810</t>
  </si>
  <si>
    <t>DELTA AIRLINES (006)</t>
  </si>
  <si>
    <t>L323</t>
  </si>
  <si>
    <t>$$100</t>
  </si>
  <si>
    <t>T282</t>
  </si>
  <si>
    <t>P490</t>
  </si>
  <si>
    <t>SAT</t>
  </si>
  <si>
    <t>DAL</t>
  </si>
  <si>
    <t>DLCARGO@delta.com</t>
  </si>
  <si>
    <t>IND</t>
  </si>
  <si>
    <t>HAH5</t>
  </si>
  <si>
    <t>E781</t>
  </si>
  <si>
    <t>Dlcargo@delta.com</t>
  </si>
  <si>
    <t>800 352 2746</t>
  </si>
  <si>
    <t>VSIADOPS@CASUSA.COM</t>
  </si>
  <si>
    <t>AIR INDIA  098</t>
  </si>
  <si>
    <t>Pillay, Anuman' &lt;anuman.pillay@swissport.com&gt;; 'APM SFO' &lt;apm.sfo@airindia.com&gt;; 'Lumibao, Magida' &lt;Magida.Lumibao@swissport.com&gt;; 'Zuniga, Maria' &lt;Maria.Zuniga@swissport.com&gt;; 'sfotkcargo@swissport.com'</t>
  </si>
  <si>
    <t>AI</t>
  </si>
  <si>
    <t>&lt;iadmgr@wfs.aero&gt;;,&lt;mohamed.adam@wfs.aero&gt;</t>
  </si>
  <si>
    <t>Dylan Singh (dsingh@wfs.aero, 718-880-3461).</t>
  </si>
  <si>
    <t>DHL</t>
  </si>
  <si>
    <t>M641</t>
  </si>
  <si>
    <t>mhothi@ups.com , upsairatl@stgusa.com, nikki.sanders@stgusa.com</t>
  </si>
  <si>
    <t>(800) 535-2345 / 404.346.9777 x29111</t>
  </si>
  <si>
    <t>MNG AIRLINE 716</t>
  </si>
  <si>
    <t>MNG</t>
  </si>
  <si>
    <t>EAO7</t>
  </si>
  <si>
    <t>freighterops@msnairservice.com</t>
  </si>
  <si>
    <t>718-244-7777</t>
  </si>
  <si>
    <t>FIJI 260</t>
  </si>
  <si>
    <t>https://track.champ.aero/fj</t>
  </si>
  <si>
    <t>Z235</t>
  </si>
  <si>
    <t xml:space="preserve">IAGLAXMAC@MERCURYAIR.COM_x001f_</t>
  </si>
  <si>
    <t>310 258 6100</t>
  </si>
  <si>
    <t>FIJI AIRLINE DONT HAVE TRACKING</t>
  </si>
  <si>
    <t>CONSIGNEE</t>
  </si>
  <si>
    <t>ADDRESS</t>
  </si>
  <si>
    <t>QUOTE #</t>
  </si>
  <si>
    <t>Ph #</t>
  </si>
  <si>
    <t>EMAIL</t>
  </si>
  <si>
    <t>JSC MARKETING LLC (BUFORD)</t>
  </si>
  <si>
    <t xml:space="preserve">KGI TRADING GA LLC
4575 ATWATER CT
BUFORD, GA 30518
</t>
  </si>
  <si>
    <t>470-589-7685
404-789-5781</t>
  </si>
  <si>
    <t>IRENEC.KGIGA@GMAIL.COM</t>
  </si>
  <si>
    <t>JSC MARKETING LLC (CHARLOTTE)</t>
  </si>
  <si>
    <t>12810 VIRKLER DRIVE SUITE 103 CHARLOTTE, NC, 28273, US</t>
  </si>
  <si>
    <t>704-588-1963</t>
  </si>
  <si>
    <t>chris lee &lt;jscm1522@gmail.com&gt;</t>
  </si>
  <si>
    <t>AQUILES INC.</t>
  </si>
  <si>
    <t>AQUILES INC.
 CHB 3201 N INTL BLVD HIDALGO TEXAS, TX 78557</t>
  </si>
  <si>
    <t>956-843-8105</t>
  </si>
  <si>
    <t>EXPORT@AQUILESINC.ORG; MRAQUILESEXPORT@AQUILESINC.ORG</t>
  </si>
  <si>
    <t>SMART CHOICE TRADING</t>
  </si>
  <si>
    <t>SKY ONE CONSTRUCTION
 605 LORIMER ST
 BROOKLYN, NY,11211, US</t>
  </si>
  <si>
    <t>646-702-0002</t>
  </si>
  <si>
    <t>ZHENTIANCONSTRUCTION@GMAIL.COM</t>
  </si>
  <si>
    <t>BEVERLY BROWN
 231 TANNER ROAD SEARCY,
 SEARCY, AR, 72143, US</t>
  </si>
  <si>
    <t>1 916-834-9354</t>
  </si>
  <si>
    <t>BEVERLYBROWN1974@GMAIL.COM ;</t>
  </si>
  <si>
    <t>251 MONDRIAN CT EL DORADO HILLS, CA, 95762, US</t>
  </si>
  <si>
    <t>MEI@TCKEXPRESSINC.COM; MATT@LUX-HOME.CO</t>
  </si>
  <si>
    <t>21625 MEDINA ESTATES DR
 WOODLAND HILLS, CA, 91364, US</t>
  </si>
  <si>
    <t>AGD818@GMAIL.COM</t>
  </si>
  <si>
    <t>11472 WOLF RD,
 GRASS VALLEY, CA, 95949, US</t>
  </si>
  <si>
    <t>MATT@LUX-HOME.CO</t>
  </si>
  <si>
    <t>5151 DA VINCI DRIVE EL DORADO HILLS, CA 95762</t>
  </si>
  <si>
    <t>STICKS SUPPLY COMPANY.
 304-C ARCADIA DRIVE GREENVILLE, SC, 29609, US</t>
  </si>
  <si>
    <t>MEI@TCKEXPRESSINC.COM</t>
  </si>
  <si>
    <t>4336 COGNAC
 COURT LOOMIS, CA, 95650, US</t>
  </si>
  <si>
    <t>DREWY DMV MANAGEMENT LLC
 7316 GLENSIDE DR
 TAKOMA PARK, MD, 20912, US
 6725 Eastern Ave Takoma Park MD 20912</t>
  </si>
  <si>
    <t>AOSAZUWA@GMAIL.COM</t>
  </si>
  <si>
    <t>CORKCICLE, LLC</t>
  </si>
  <si>
    <t>AMWARE 4505 NEWPOINT PLACE,LAWRENCEVILLE, GA, 30043, US</t>
  </si>
  <si>
    <t>678-377-8585</t>
  </si>
  <si>
    <t>NEWPOINTOPER@AMWARELOGISTICS.COM</t>
  </si>
  <si>
    <t>TIME WINNER INT'L EXPRESS INC</t>
  </si>
  <si>
    <t>always send AN to &lt;imports1@twiexpress.com&gt; only</t>
  </si>
  <si>
    <t>MOOKIE USA, INC</t>
  </si>
  <si>
    <t>SMART WAREHOUSING14495 STEWART ROAD S.E.SUITE 400, SUMNER, WA 98390</t>
  </si>
  <si>
    <t>MARTINEZ PRODUCE &amp; SEAFOOD</t>
  </si>
  <si>
    <t xml:space="preserve">ALEX/ MARTINEZ (773) 255-182  // Mr. Luis +1 (786) 843-9025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</si>
</sst>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&lt;=9999999]###\-####;\(###\)\ ###\-####"/>
    <numFmt numFmtId="166" formatCode="&quot;$&quot;#,##0"/>
  </numFmts>
  <fonts count="105">
    <font>
      <sz val="11.0"/>
      <color rgb="FF000000"/>
      <name val="Calibri"/>
    </font>
    <font>
      <b/>
      <sz val="18.0"/>
      <color rgb="FF000000"/>
      <name val="Calibri"/>
    </font>
    <font>
      <b/>
      <sz val="11.0"/>
      <color rgb="FF000000"/>
      <name val="Calibri"/>
    </font>
    <font>
      <sz val="12.0"/>
      <color rgb="FF000000"/>
      <name val="Arial"/>
    </font>
    <font>
      <sz val="18.0"/>
      <color rgb="FFFF0000"/>
      <name val="Calibri"/>
    </font>
    <font>
      <sz val="11.0"/>
      <color rgb="FFC00000"/>
      <name val="Calibri"/>
    </font>
    <font>
      <sz val="10.0"/>
      <color rgb="FF222222"/>
      <name val="Arial"/>
    </font>
    <font>
      <sz val="41.0"/>
      <color rgb="FF111111"/>
      <name val="Roboto"/>
    </font>
    <font>
      <sz val="10.0"/>
      <color rgb="FFC00000"/>
      <name val="Arial"/>
    </font>
    <font>
      <b/>
      <sz val="10.0"/>
      <color rgb="FFC00000"/>
      <name val="Arial"/>
    </font>
    <font>
      <b/>
      <sz val="20.0"/>
      <color rgb="FF000000"/>
      <name val="Calibri"/>
    </font>
    <font>
      <sz val="18.0"/>
      <color rgb="FF000000"/>
      <name val="Libre Baskerville"/>
    </font>
    <font>
      <sz val="14.0"/>
      <color rgb="FFFF0000"/>
      <name val="Libre Baskerville"/>
    </font>
    <font>
      <sz val="14.0"/>
      <color rgb="FF6AA84F"/>
      <name val="Libre Baskerville"/>
    </font>
    <font>
      <sz val="18.0"/>
      <color rgb="FF3C78D8"/>
      <name val="Times New Roman"/>
    </font>
    <font>
      <b/>
      <sz val="18.0"/>
      <name val="Calibri"/>
    </font>
    <font>
      <sz val="12.0"/>
      <color rgb="FF000000"/>
      <name val="Calibri"/>
    </font>
    <font/>
    <font>
      <sz val="12.0"/>
      <color rgb="FF333333"/>
      <name val="Calibri"/>
    </font>
    <font>
      <sz val="9.0"/>
      <color rgb="FF333333"/>
      <name val="Calibri"/>
    </font>
    <font>
      <sz val="11.0"/>
      <color rgb="FF333333"/>
      <name val="Calibri"/>
    </font>
    <font>
      <sz val="18.0"/>
      <name val="Times New Roman"/>
    </font>
    <font>
      <sz val="12.0"/>
      <name val="Calibri"/>
    </font>
    <font>
      <sz val="11.0"/>
      <name val="Calibri"/>
    </font>
    <font>
      <sz val="18.0"/>
      <color rgb="FFFFFFFF"/>
      <name val="Times New Roman"/>
    </font>
    <font>
      <b/>
      <sz val="18.0"/>
      <color rgb="FFFFFFFF"/>
      <name val="Calibri"/>
    </font>
    <font>
      <sz val="12.0"/>
      <color rgb="FFFFFFFF"/>
      <name val="Calibri"/>
    </font>
    <font>
      <sz val="11.0"/>
      <color rgb="FFFFFFFF"/>
      <name val="Calibri"/>
    </font>
    <font>
      <b/>
      <sz val="18.0"/>
      <color rgb="FF434343"/>
      <name val="Calibri"/>
    </font>
    <font>
      <sz val="9.0"/>
      <color rgb="FF000000"/>
      <name val="&quot;Arial&quot;"/>
    </font>
    <font>
      <color rgb="FF434343"/>
      <name val="Roboto"/>
    </font>
    <font>
      <sz val="12.0"/>
      <color rgb="FF434343"/>
      <name val="&quot;Aptos&quot;"/>
    </font>
    <font>
      <u/>
      <color rgb="FF1A0DAB"/>
      <name val="Calibri"/>
    </font>
    <font>
      <sz val="12.0"/>
      <color rgb="FF333333"/>
      <name val="&quot;Source Sans Pro&quot;"/>
    </font>
    <font>
      <sz val="11.0"/>
      <color rgb="FF333333"/>
      <name val="&quot;Source Sans Pro&quot;"/>
    </font>
    <font>
      <b/>
      <sz val="12.0"/>
      <color rgb="FF000000"/>
      <name val="Arial"/>
    </font>
    <font>
      <u/>
      <color rgb="FF0563C1"/>
      <name val="Calibri"/>
    </font>
    <font>
      <sz val="9.0"/>
      <color rgb="FF1F497D"/>
      <name val="Arial"/>
    </font>
    <font>
      <sz val="12.0"/>
      <color rgb="FF434343"/>
      <name val="Aptos"/>
    </font>
    <font>
      <sz val="9.0"/>
      <color rgb="FF434343"/>
      <name val="Roboto"/>
    </font>
    <font>
      <sz val="12.0"/>
      <color rgb="FF434343"/>
      <name val="Roboto"/>
    </font>
    <font>
      <sz val="18.0"/>
    </font>
    <font>
      <sz val="18.0"/>
      <color rgb="FFFF0000"/>
    </font>
    <font>
      <sz val="18.0"/>
      <color rgb="FF6AA84F"/>
    </font>
    <font>
      <sz val="18.0"/>
      <color rgb="FF434343"/>
      <name val="Roboto"/>
    </font>
    <font>
      <sz val="11.0"/>
      <color rgb="FF434343"/>
      <name val="Calibri"/>
    </font>
    <font>
      <sz val="11.0"/>
      <color rgb="FF000000"/>
      <name val="Docs-Calibri"/>
    </font>
    <font>
      <sz val="18.0"/>
      <color rgb="FF000000"/>
      <name val="&quot;Libre Baskerville&quot;"/>
    </font>
    <font>
      <color rgb="FFFF0000"/>
    </font>
    <font>
      <color rgb="FF6AA84F"/>
    </font>
    <font>
      <sz val="12.0"/>
    </font>
    <font>
      <u/>
      <sz val="12.0"/>
      <color rgb="FF1A0DAB"/>
      <name val="Calibri"/>
    </font>
    <font>
      <u/>
      <color rgb="FF1A0DAB"/>
      <name val="Calibri"/>
    </font>
    <font>
      <u/>
      <sz val="18.0"/>
      <color rgb="FF0000FF"/>
      <name val="Times New Roman"/>
    </font>
    <font>
      <u/>
      <sz val="9.0"/>
      <color rgb="FF0000FF"/>
      <name val="Arial"/>
    </font>
    <font>
      <sz val="11.0"/>
      <color rgb="FF1F497D"/>
      <name val="Calibri"/>
    </font>
    <font>
      <sz val="12.0"/>
      <color rgb="FF323A2F"/>
      <name val="Calibri"/>
    </font>
    <font>
      <sz val="11.0"/>
      <color rgb="FF323A2F"/>
      <name val="Calibri"/>
    </font>
    <font>
      <sz val="18.0"/>
      <color rgb="FF7030A0"/>
      <name val="Libre Baskerville"/>
    </font>
    <font>
      <sz val="11.0"/>
      <color rgb="FF7030A0"/>
      <name val="Calibri"/>
    </font>
    <font>
      <name val="Libre Baskerville"/>
    </font>
    <font>
      <sz val="10.0"/>
      <name val="Arial"/>
    </font>
    <font>
      <sz val="9.0"/>
      <color rgb="FF323A2F"/>
      <name val="Calibri"/>
    </font>
    <font>
      <color rgb="FF000000"/>
      <name val="Arial"/>
    </font>
    <font>
      <u/>
      <sz val="12.0"/>
      <color rgb="FF0563C1"/>
      <name val="Calibri"/>
    </font>
    <font>
      <u/>
      <sz val="11.0"/>
      <color rgb="FF0563C1"/>
      <name val="Calibri"/>
    </font>
    <font>
      <sz val="11.0"/>
      <color rgb="FFFF0000"/>
      <name val="Calibri"/>
    </font>
    <font>
      <b/>
      <sz val="11.0"/>
      <color rgb="FF6AA84F"/>
      <name val="Calibri"/>
    </font>
    <font>
      <b/>
      <sz val="18.0"/>
      <color rgb="FF3C78D8"/>
      <name val="Times New Roman"/>
    </font>
    <font>
      <sz val="10.0"/>
      <color rgb="FF000000"/>
      <name val="Calibri"/>
    </font>
    <font>
      <b/>
      <sz val="14.0"/>
      <color rgb="FFFF0000"/>
      <name val="Libre Baskerville"/>
    </font>
    <font>
      <b/>
      <sz val="18.0"/>
      <color rgb="FF6D9EEB"/>
      <name val="Times New Roman"/>
    </font>
    <font>
      <sz val="18.0"/>
      <color rgb="FF000000"/>
      <name val="Spectral"/>
    </font>
    <font>
      <sz val="18.0"/>
      <name val="Libre Baskerville"/>
    </font>
    <font>
      <sz val="11.0"/>
      <color rgb="FF000000"/>
      <name val="&quot;Calibri&quot;"/>
    </font>
    <font>
      <u/>
      <sz val="11.0"/>
      <color rgb="FF0000FF"/>
      <name val="Arial"/>
    </font>
    <font>
      <b/>
      <sz val="11.0"/>
      <color rgb="FFFF0000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sz val="11.0"/>
      <color rgb="FF12263F"/>
      <name val="Arial"/>
    </font>
    <font>
      <sz val="14.0"/>
      <color rgb="FF000000"/>
      <name val="&quot;Calibri&quot;"/>
    </font>
    <font>
      <u/>
      <sz val="14.0"/>
      <color rgb="FF0000FF"/>
      <name val="&quot;Calibri&quot;"/>
    </font>
    <font>
      <u/>
      <sz val="11.0"/>
      <color rgb="FF000000"/>
      <name val="Calibri"/>
    </font>
    <font>
      <sz val="14.0"/>
      <color rgb="FF0070C0"/>
      <name val="Libre Baskerville"/>
    </font>
    <font>
      <name val="Calibri"/>
    </font>
    <font>
      <sz val="11.0"/>
      <color rgb="FFFF0000"/>
      <name val="&quot;Source Sans Pro&quot;"/>
    </font>
    <font>
      <sz val="10.0"/>
      <color rgb="FF686361"/>
      <name val="Arial"/>
    </font>
    <font>
      <sz val="12.0"/>
      <name val="&quot;Aptos&quot;"/>
    </font>
    <font>
      <sz val="18.0"/>
      <color rgb="FFFF0000"/>
      <name val="Libre Baskerville"/>
    </font>
    <font>
      <sz val="11.0"/>
      <color rgb="FF323232"/>
      <name val="&quot;Microsoft JhengHei&quot;"/>
    </font>
    <font>
      <sz val="11.0"/>
      <name val="Arial"/>
    </font>
    <font>
      <sz val="14.0"/>
      <color rgb="FF000000"/>
      <name val="Libre Baskerville"/>
    </font>
    <font>
      <u/>
      <sz val="11.0"/>
      <color rgb="FF000000"/>
      <name val="Calibri"/>
    </font>
    <font>
      <b/>
      <sz val="14.0"/>
      <color rgb="FF000000"/>
      <name val="Calibri"/>
    </font>
    <font>
      <sz val="14.0"/>
      <color rgb="FFFF0000"/>
      <name val="&quot;docs-Libre Baskerville&quot;"/>
    </font>
    <font>
      <sz val="14.0"/>
      <color rgb="FF000000"/>
      <name val="Calibri"/>
    </font>
    <font>
      <sz val="14.0"/>
    </font>
    <font>
      <sz val="12.0"/>
      <color rgb="FF0A0A0A"/>
      <name val="&quot;Google Sans&quot;"/>
    </font>
    <font>
      <sz val="22.0"/>
      <color rgb="FF000000"/>
      <name val="Calibri"/>
    </font>
    <font>
      <u/>
      <sz val="12.0"/>
      <color rgb="FF0000FF"/>
      <name val="Calibri"/>
    </font>
    <font>
      <u/>
      <color rgb="FF0000FF"/>
    </font>
    <font>
      <b/>
      <sz val="14.0"/>
      <name val="Calibri"/>
    </font>
    <font>
      <sz val="11.0"/>
      <name val="&quot;Times New Roman&quot;"/>
    </font>
    <font>
      <u/>
      <sz val="11.0"/>
      <color rgb="FF0563C1"/>
      <name val="&quot;Times New Roman&quot;"/>
    </font>
    <font>
      <sz val="9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8"/>
        <bgColor rgb="FFFFE598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B4C6E7"/>
        <bgColor rgb="FFB4C6E7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EEEEEE"/>
        <bgColor rgb="FFEEEEEE"/>
      </patternFill>
    </fill>
    <fill>
      <patternFill patternType="solid">
        <fgColor rgb="FFF9F9F9"/>
        <bgColor rgb="FFF9F9F9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3" fontId="7" numFmtId="0" xfId="0" applyAlignment="1" applyFill="1" applyFont="1">
      <alignment horizontal="left" readingOrder="0"/>
    </xf>
    <xf borderId="1" fillId="0" fontId="0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5" numFmtId="164" xfId="0" applyAlignment="1" applyBorder="1" applyFont="1" applyNumberFormat="1">
      <alignment horizontal="center" readingOrder="0" shrinkToFit="0" vertical="center" wrapText="1"/>
    </xf>
    <xf borderId="1" fillId="5" fontId="16" numFmtId="165" xfId="0" applyAlignment="1" applyBorder="1" applyFont="1" applyNumberFormat="1">
      <alignment horizontal="center" readingOrder="0" shrinkToFit="0" vertical="center" wrapText="1"/>
    </xf>
    <xf borderId="1" fillId="0" fontId="17" numFmtId="165" xfId="0" applyAlignment="1" applyBorder="1" applyFont="1" applyNumberFormat="1">
      <alignment horizontal="center" readingOrder="0" shrinkToFit="0" vertical="center" wrapText="1"/>
    </xf>
    <xf borderId="1" fillId="5" fontId="0" numFmtId="165" xfId="0" applyAlignment="1" applyBorder="1" applyFont="1" applyNumberFormat="1">
      <alignment horizontal="center" readingOrder="0" shrinkToFit="0" vertical="center" wrapText="1"/>
    </xf>
    <xf borderId="1" fillId="5" fontId="0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5" numFmtId="166" xfId="0" applyAlignment="1" applyBorder="1" applyFont="1" applyNumberFormat="1">
      <alignment horizontal="center" readingOrder="0" shrinkToFit="0" vertical="center" wrapText="1"/>
    </xf>
    <xf borderId="1" fillId="3" fontId="16" numFmtId="165" xfId="0" applyAlignment="1" applyBorder="1" applyFont="1" applyNumberFormat="1">
      <alignment horizontal="center" shrinkToFit="0" vertical="center" wrapText="1"/>
    </xf>
    <xf borderId="1" fillId="3" fontId="0" numFmtId="165" xfId="0" applyAlignment="1" applyBorder="1" applyFont="1" applyNumberFormat="1">
      <alignment horizontal="center" readingOrder="0" shrinkToFit="0" vertical="center" wrapText="1"/>
    </xf>
    <xf borderId="1" fillId="3" fontId="0" numFmtId="0" xfId="0" applyAlignment="1" applyBorder="1" applyFont="1">
      <alignment horizontal="center" readingOrder="0" shrinkToFit="0" vertical="center" wrapText="1"/>
    </xf>
    <xf borderId="1" fillId="6" fontId="0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0" numFmtId="165" xfId="0" applyAlignment="1" applyBorder="1" applyFont="1" applyNumberFormat="1">
      <alignment horizontal="center" shrinkToFit="0" vertical="center" wrapText="1"/>
    </xf>
    <xf borderId="1" fillId="3" fontId="16" numFmtId="165" xfId="0" applyAlignment="1" applyBorder="1" applyFont="1" applyNumberFormat="1">
      <alignment horizontal="center" readingOrder="0" shrinkToFit="0" vertical="center" wrapText="1"/>
    </xf>
    <xf borderId="1" fillId="7" fontId="0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8" fontId="0" numFmtId="0" xfId="0" applyAlignment="1" applyBorder="1" applyFill="1" applyFont="1">
      <alignment horizontal="center" shrinkToFit="0" vertical="center" wrapText="1"/>
    </xf>
    <xf borderId="1" fillId="3" fontId="18" numFmtId="165" xfId="0" applyAlignment="1" applyBorder="1" applyFont="1" applyNumberFormat="1">
      <alignment horizontal="center" readingOrder="0" shrinkToFit="0" vertical="center" wrapText="1"/>
    </xf>
    <xf borderId="1" fillId="3" fontId="19" numFmtId="165" xfId="0" applyAlignment="1" applyBorder="1" applyFont="1" applyNumberFormat="1">
      <alignment horizontal="center" readingOrder="0" shrinkToFit="0" vertical="center" wrapText="1"/>
    </xf>
    <xf borderId="1" fillId="3" fontId="20" numFmtId="165" xfId="0" applyAlignment="1" applyBorder="1" applyFont="1" applyNumberFormat="1">
      <alignment horizontal="center" readingOrder="0" shrinkToFit="0" vertical="center" wrapText="1"/>
    </xf>
    <xf borderId="1" fillId="9" fontId="0" numFmtId="0" xfId="0" applyAlignment="1" applyBorder="1" applyFill="1" applyFont="1">
      <alignment horizontal="center" shrinkToFit="0" vertical="center" wrapText="1"/>
    </xf>
    <xf borderId="1" fillId="3" fontId="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22" numFmtId="165" xfId="0" applyAlignment="1" applyFont="1" applyNumberFormat="1">
      <alignment horizontal="center" readingOrder="0" shrinkToFit="0" vertical="center" wrapText="1"/>
    </xf>
    <xf borderId="0" fillId="0" fontId="23" numFmtId="165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165" xfId="0" applyAlignment="1" applyFont="1" applyNumberFormat="1">
      <alignment horizontal="center" readingOrder="0" shrinkToFit="0" vertical="center" wrapText="1"/>
    </xf>
    <xf borderId="0" fillId="0" fontId="27" numFmtId="165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28" numFmtId="0" xfId="0" applyAlignment="1" applyBorder="1" applyFont="1">
      <alignment horizontal="center" readingOrder="0" shrinkToFit="0" vertical="center" wrapText="1"/>
    </xf>
    <xf borderId="1" fillId="3" fontId="16" numFmtId="165" xfId="0" applyAlignment="1" applyBorder="1" applyFont="1" applyNumberFormat="1">
      <alignment horizontal="center" shrinkToFit="0" vertical="center" wrapText="1"/>
    </xf>
    <xf borderId="1" fillId="3" fontId="0" numFmtId="165" xfId="0" applyAlignment="1" applyBorder="1" applyFont="1" applyNumberFormat="1">
      <alignment horizontal="center" shrinkToFit="0" vertical="center" wrapText="1"/>
    </xf>
    <xf borderId="1" fillId="3" fontId="0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28" numFmtId="0" xfId="0" applyAlignment="1" applyBorder="1" applyFont="1">
      <alignment horizontal="center" readingOrder="0" shrinkToFit="0" vertical="center" wrapText="1"/>
    </xf>
    <xf borderId="0" fillId="0" fontId="29" numFmtId="165" xfId="0" applyAlignment="1" applyFont="1" applyNumberFormat="1">
      <alignment readingOrder="0" shrinkToFit="0" vertical="center" wrapText="0"/>
    </xf>
    <xf borderId="1" fillId="10" fontId="0" numFmtId="165" xfId="0" applyAlignment="1" applyBorder="1" applyFill="1" applyFont="1" applyNumberFormat="1">
      <alignment horizontal="center" readingOrder="0" shrinkToFit="0" vertical="center" wrapText="1"/>
    </xf>
    <xf borderId="1" fillId="5" fontId="0" numFmtId="165" xfId="0" applyAlignment="1" applyBorder="1" applyFont="1" applyNumberFormat="1">
      <alignment horizontal="center" readingOrder="0" shrinkToFit="0" vertical="center" wrapText="1"/>
    </xf>
    <xf borderId="1" fillId="5" fontId="0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28" numFmtId="166" xfId="0" applyAlignment="1" applyBorder="1" applyFont="1" applyNumberFormat="1">
      <alignment horizontal="center" readingOrder="0" shrinkToFit="0" vertical="center" wrapText="1"/>
    </xf>
    <xf borderId="1" fillId="3" fontId="0" numFmtId="165" xfId="0" applyAlignment="1" applyBorder="1" applyFont="1" applyNumberFormat="1">
      <alignment horizontal="center" readingOrder="0" shrinkToFit="0" vertical="center" wrapText="1"/>
    </xf>
    <xf borderId="1" fillId="11" fontId="0" numFmtId="0" xfId="0" applyAlignment="1" applyBorder="1" applyFill="1" applyFont="1">
      <alignment horizontal="center" shrinkToFit="0" vertical="center" wrapText="1"/>
    </xf>
    <xf borderId="1" fillId="3" fontId="0" numFmtId="0" xfId="0" applyAlignment="1" applyBorder="1" applyFont="1">
      <alignment horizontal="center" shrinkToFit="0" vertical="center" wrapText="1"/>
    </xf>
    <xf borderId="0" fillId="0" fontId="30" numFmtId="165" xfId="0" applyAlignment="1" applyFont="1" applyNumberFormat="1">
      <alignment readingOrder="0" shrinkToFit="0" vertical="center" wrapText="0"/>
    </xf>
    <xf borderId="1" fillId="0" fontId="30" numFmtId="165" xfId="0" applyAlignment="1" applyBorder="1" applyFont="1" applyNumberFormat="1">
      <alignment horizontal="center" readingOrder="0" shrinkToFit="0" vertical="center" wrapText="1"/>
    </xf>
    <xf borderId="0" fillId="0" fontId="30" numFmtId="165" xfId="0" applyAlignment="1" applyFont="1" applyNumberFormat="1">
      <alignment horizontal="center" readingOrder="0" shrinkToFit="0" vertical="center" wrapText="1"/>
    </xf>
    <xf borderId="1" fillId="5" fontId="28" numFmtId="166" xfId="0" applyAlignment="1" applyBorder="1" applyFont="1" applyNumberFormat="1">
      <alignment horizontal="center" readingOrder="0" shrinkToFit="0" vertical="center" wrapText="1"/>
    </xf>
    <xf borderId="1" fillId="5" fontId="16" numFmtId="165" xfId="0" applyAlignment="1" applyBorder="1" applyFont="1" applyNumberFormat="1">
      <alignment horizontal="center" readingOrder="0" shrinkToFit="0" vertical="center" wrapText="1"/>
    </xf>
    <xf borderId="1" fillId="3" fontId="2" numFmtId="165" xfId="0" applyAlignment="1" applyBorder="1" applyFont="1" applyNumberFormat="1">
      <alignment horizontal="center" readingOrder="0" shrinkToFit="0" vertical="center" wrapText="1"/>
    </xf>
    <xf borderId="1" fillId="3" fontId="18" numFmtId="165" xfId="0" applyAlignment="1" applyBorder="1" applyFont="1" applyNumberFormat="1">
      <alignment horizontal="center" readingOrder="0" shrinkToFit="0" vertical="center" wrapText="1"/>
    </xf>
    <xf borderId="1" fillId="3" fontId="20" numFmtId="165" xfId="0" applyAlignment="1" applyBorder="1" applyFont="1" applyNumberFormat="1">
      <alignment horizontal="center" readingOrder="0" shrinkToFit="0" vertical="center" wrapText="1"/>
    </xf>
    <xf borderId="1" fillId="12" fontId="0" numFmtId="0" xfId="0" applyAlignment="1" applyBorder="1" applyFill="1" applyFont="1">
      <alignment horizontal="center" shrinkToFit="0" vertical="center" wrapText="1"/>
    </xf>
    <xf borderId="1" fillId="3" fontId="16" numFmtId="165" xfId="0" applyAlignment="1" applyBorder="1" applyFont="1" applyNumberFormat="1">
      <alignment horizontal="center" readingOrder="0" shrinkToFit="0" vertical="center" wrapText="1"/>
    </xf>
    <xf borderId="0" fillId="0" fontId="31" numFmtId="165" xfId="0" applyAlignment="1" applyFont="1" applyNumberFormat="1">
      <alignment readingOrder="0" shrinkToFit="0" vertical="center" wrapText="0"/>
    </xf>
    <xf borderId="1" fillId="3" fontId="32" numFmtId="165" xfId="0" applyAlignment="1" applyBorder="1" applyFont="1" applyNumberFormat="1">
      <alignment horizontal="center" readingOrder="0" shrinkToFit="0" vertical="center" wrapText="1"/>
    </xf>
    <xf borderId="1" fillId="3" fontId="33" numFmtId="165" xfId="0" applyAlignment="1" applyBorder="1" applyFont="1" applyNumberFormat="1">
      <alignment horizontal="center" readingOrder="0" shrinkToFit="0" vertical="center" wrapText="1"/>
    </xf>
    <xf borderId="1" fillId="3" fontId="34" numFmtId="165" xfId="0" applyAlignment="1" applyBorder="1" applyFont="1" applyNumberFormat="1">
      <alignment horizontal="center" readingOrder="0" shrinkToFit="0" vertical="center" wrapText="1"/>
    </xf>
    <xf borderId="0" fillId="8" fontId="35" numFmtId="0" xfId="0" applyAlignment="1" applyFont="1">
      <alignment readingOrder="0" shrinkToFit="0" vertical="center" wrapText="0"/>
    </xf>
    <xf borderId="1" fillId="0" fontId="36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13" fontId="28" numFmtId="0" xfId="0" applyAlignment="1" applyBorder="1" applyFill="1" applyFont="1">
      <alignment horizontal="center" readingOrder="0" shrinkToFit="0" vertical="center" wrapText="1"/>
    </xf>
    <xf borderId="0" fillId="3" fontId="37" numFmtId="165" xfId="0" applyAlignment="1" applyFont="1" applyNumberFormat="1">
      <alignment horizontal="center" readingOrder="0" shrinkToFit="0" vertical="center" wrapText="0"/>
    </xf>
    <xf borderId="0" fillId="0" fontId="38" numFmtId="165" xfId="0" applyAlignment="1" applyFont="1" applyNumberFormat="1">
      <alignment readingOrder="0" shrinkToFit="0" vertical="center" wrapText="0"/>
    </xf>
    <xf borderId="1" fillId="5" fontId="0" numFmtId="165" xfId="0" applyAlignment="1" applyBorder="1" applyFont="1" applyNumberForma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3" fontId="30" numFmtId="0" xfId="0" applyAlignment="1" applyBorder="1" applyFont="1">
      <alignment horizontal="center" shrinkToFit="0" vertical="center" wrapText="1"/>
    </xf>
    <xf borderId="1" fillId="3" fontId="30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3" fontId="39" numFmtId="0" xfId="0" applyAlignment="1" applyBorder="1" applyFont="1">
      <alignment horizontal="center" readingOrder="0" shrinkToFit="0" vertical="center" wrapText="1"/>
    </xf>
    <xf borderId="1" fillId="3" fontId="40" numFmtId="0" xfId="0" applyAlignment="1" applyBorder="1" applyFont="1">
      <alignment horizontal="center" shrinkToFit="0" vertical="center" wrapText="1"/>
    </xf>
    <xf borderId="1" fillId="3" fontId="41" numFmtId="0" xfId="0" applyAlignment="1" applyBorder="1" applyFont="1">
      <alignment horizontal="center" shrinkToFit="0" vertical="center" wrapText="1"/>
    </xf>
    <xf borderId="1" fillId="3" fontId="42" numFmtId="0" xfId="0" applyAlignment="1" applyBorder="1" applyFont="1">
      <alignment horizontal="center" readingOrder="0" shrinkToFit="0" vertical="center" wrapText="1"/>
    </xf>
    <xf borderId="1" fillId="3" fontId="43" numFmtId="0" xfId="0" applyAlignment="1" applyBorder="1" applyFont="1">
      <alignment horizontal="center" readingOrder="0" shrinkToFit="0" vertical="center" wrapText="1"/>
    </xf>
    <xf borderId="1" fillId="3" fontId="44" numFmtId="0" xfId="0" applyAlignment="1" applyBorder="1" applyFont="1">
      <alignment horizontal="center" readingOrder="0" shrinkToFit="0" vertical="center" wrapText="1"/>
    </xf>
    <xf borderId="1" fillId="3" fontId="44" numFmtId="0" xfId="0" applyAlignment="1" applyBorder="1" applyFont="1">
      <alignment horizontal="center" shrinkToFit="0" vertical="center" wrapText="1"/>
    </xf>
    <xf borderId="1" fillId="3" fontId="45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shrinkToFit="0" vertical="center" wrapText="1"/>
    </xf>
    <xf borderId="0" fillId="3" fontId="46" numFmtId="0" xfId="0" applyAlignment="1" applyFont="1">
      <alignment horizontal="center" readingOrder="0"/>
    </xf>
    <xf borderId="0" fillId="3" fontId="0" numFmtId="0" xfId="0" applyAlignment="1" applyFont="1">
      <alignment horizontal="center" readingOrder="0" shrinkToFit="0" vertical="center" wrapText="0"/>
    </xf>
    <xf borderId="1" fillId="3" fontId="0" numFmtId="0" xfId="0" applyAlignment="1" applyBorder="1" applyFont="1">
      <alignment horizontal="center" readingOrder="0" shrinkToFit="0" vertical="center" wrapText="0"/>
    </xf>
    <xf borderId="1" fillId="3" fontId="47" numFmtId="0" xfId="0" applyAlignment="1" applyBorder="1" applyFont="1">
      <alignment horizontal="center" readingOrder="0" shrinkToFit="0" vertical="center" wrapText="1"/>
    </xf>
    <xf borderId="1" fillId="14" fontId="0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6" numFmtId="165" xfId="0" applyAlignment="1" applyBorder="1" applyFont="1" applyNumberFormat="1">
      <alignment horizontal="center" shrinkToFit="0" vertical="center" wrapText="1"/>
    </xf>
    <xf borderId="1" fillId="0" fontId="0" numFmtId="165" xfId="0" applyAlignment="1" applyBorder="1" applyFont="1" applyNumberFormat="1">
      <alignment horizontal="center" shrinkToFit="0" vertical="center" wrapText="1"/>
    </xf>
    <xf borderId="1" fillId="0" fontId="48" numFmtId="0" xfId="0" applyAlignment="1" applyBorder="1" applyFont="1">
      <alignment horizontal="center" shrinkToFit="0" vertical="center" wrapText="1"/>
    </xf>
    <xf borderId="1" fillId="0" fontId="49" numFmtId="0" xfId="0" applyAlignment="1" applyBorder="1" applyFont="1">
      <alignment horizontal="center" shrinkToFit="0" vertical="center" wrapText="1"/>
    </xf>
    <xf borderId="1" fillId="0" fontId="50" numFmtId="0" xfId="0" applyAlignment="1" applyBorder="1" applyFont="1">
      <alignment horizontal="center" shrinkToFit="0" vertical="center" wrapText="1"/>
    </xf>
    <xf borderId="1" fillId="5" fontId="15" numFmtId="166" xfId="0" applyAlignment="1" applyBorder="1" applyFont="1" applyNumberFormat="1">
      <alignment horizontal="center" readingOrder="0" shrinkToFit="0" vertical="center" wrapText="1"/>
    </xf>
    <xf borderId="1" fillId="3" fontId="15" numFmtId="164" xfId="0" applyAlignment="1" applyBorder="1" applyFont="1" applyNumberFormat="1">
      <alignment horizontal="center" readingOrder="0" shrinkToFit="0" vertical="center" wrapText="1"/>
    </xf>
    <xf borderId="1" fillId="3" fontId="33" numFmtId="0" xfId="0" applyAlignment="1" applyBorder="1" applyFont="1">
      <alignment horizontal="center" readingOrder="0" shrinkToFit="0" vertical="center" wrapText="1"/>
    </xf>
    <xf borderId="1" fillId="3" fontId="34" numFmtId="0" xfId="0" applyAlignment="1" applyBorder="1" applyFont="1">
      <alignment horizontal="center" readingOrder="0" shrinkToFit="0" vertical="center" wrapText="1"/>
    </xf>
    <xf borderId="1" fillId="3" fontId="51" numFmtId="0" xfId="0" applyAlignment="1" applyBorder="1" applyFont="1">
      <alignment horizontal="center" readingOrder="0" shrinkToFit="0" vertical="center" wrapText="1"/>
    </xf>
    <xf borderId="1" fillId="3" fontId="52" numFmtId="0" xfId="0" applyAlignment="1" applyBorder="1" applyFont="1">
      <alignment horizontal="center" readingOrder="0" shrinkToFit="0" vertical="center" wrapText="1"/>
    </xf>
    <xf borderId="1" fillId="5" fontId="0" numFmtId="0" xfId="0" applyAlignment="1" applyBorder="1" applyFont="1">
      <alignment horizontal="center" shrinkToFit="0" vertical="center" wrapText="1"/>
    </xf>
    <xf borderId="1" fillId="3" fontId="15" numFmtId="164" xfId="0" applyAlignment="1" applyBorder="1" applyFont="1" applyNumberFormat="1">
      <alignment horizontal="center" readingOrder="0" shrinkToFit="0" vertical="center" wrapText="1"/>
    </xf>
    <xf borderId="1" fillId="5" fontId="16" numFmtId="165" xfId="0" applyAlignment="1" applyBorder="1" applyFont="1" applyNumberFormat="1">
      <alignment horizontal="center" shrinkToFit="0" vertical="center" wrapText="1"/>
    </xf>
    <xf borderId="1" fillId="5" fontId="0" numFmtId="165" xfId="0" applyAlignment="1" applyBorder="1" applyFont="1" applyNumberFormat="1">
      <alignment horizontal="center" shrinkToFit="0" vertical="center" wrapText="1"/>
    </xf>
    <xf borderId="1" fillId="3" fontId="16" numFmtId="0" xfId="0" applyAlignment="1" applyBorder="1" applyFont="1">
      <alignment horizontal="center" shrinkToFit="0" vertical="center" wrapText="1"/>
    </xf>
    <xf borderId="1" fillId="15" fontId="0" numFmtId="0" xfId="0" applyAlignment="1" applyBorder="1" applyFill="1" applyFont="1">
      <alignment horizontal="center" shrinkToFit="0" vertical="center" wrapText="1"/>
    </xf>
    <xf borderId="1" fillId="3" fontId="53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readingOrder="0"/>
    </xf>
    <xf borderId="0" fillId="0" fontId="55" numFmtId="165" xfId="0" applyAlignment="1" applyFont="1" applyNumberFormat="1">
      <alignment readingOrder="0"/>
    </xf>
    <xf quotePrefix="1" borderId="1" fillId="3" fontId="0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1" fillId="5" fontId="56" numFmtId="165" xfId="0" applyAlignment="1" applyBorder="1" applyFont="1" applyNumberFormat="1">
      <alignment horizontal="center" readingOrder="0" shrinkToFit="0" vertical="center" wrapText="1"/>
    </xf>
    <xf borderId="1" fillId="5" fontId="57" numFmtId="165" xfId="0" applyAlignment="1" applyBorder="1" applyFont="1" applyNumberFormat="1">
      <alignment horizontal="center" readingOrder="0" shrinkToFit="0" vertical="center" wrapText="1"/>
    </xf>
    <xf borderId="1" fillId="3" fontId="56" numFmtId="165" xfId="0" applyAlignment="1" applyBorder="1" applyFont="1" applyNumberFormat="1">
      <alignment horizontal="center" readingOrder="0" shrinkToFit="0" vertical="center" wrapText="1"/>
    </xf>
    <xf borderId="1" fillId="3" fontId="57" numFmtId="165" xfId="0" applyAlignment="1" applyBorder="1" applyFont="1" applyNumberFormat="1">
      <alignment horizontal="center" readingOrder="0" shrinkToFit="0" vertical="center" wrapText="1"/>
    </xf>
    <xf borderId="1" fillId="16" fontId="0" numFmtId="0" xfId="0" applyAlignment="1" applyBorder="1" applyFill="1" applyFont="1">
      <alignment horizontal="center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3" fontId="58" numFmtId="0" xfId="0" applyAlignment="1" applyBorder="1" applyFont="1">
      <alignment horizontal="center" shrinkToFit="0" vertical="center" wrapText="1"/>
    </xf>
    <xf borderId="1" fillId="3" fontId="22" numFmtId="165" xfId="0" applyAlignment="1" applyBorder="1" applyFont="1" applyNumberFormat="1">
      <alignment horizontal="center" shrinkToFit="0" vertical="center" wrapText="1"/>
    </xf>
    <xf borderId="1" fillId="3" fontId="23" numFmtId="165" xfId="0" applyAlignment="1" applyBorder="1" applyFont="1" applyNumberFormat="1">
      <alignment horizontal="center" shrinkToFit="0" vertical="center" wrapText="1"/>
    </xf>
    <xf borderId="1" fillId="3" fontId="23" numFmtId="165" xfId="0" applyAlignment="1" applyBorder="1" applyFont="1" applyNumberFormat="1">
      <alignment horizontal="center" readingOrder="0" shrinkToFit="0" vertical="center" wrapText="1"/>
    </xf>
    <xf borderId="1" fillId="3" fontId="59" numFmtId="0" xfId="0" applyAlignment="1" applyBorder="1" applyFont="1">
      <alignment horizontal="center" readingOrder="0" shrinkToFit="0" vertical="center" wrapText="1"/>
    </xf>
    <xf borderId="1" fillId="11" fontId="59" numFmtId="0" xfId="0" applyAlignment="1" applyBorder="1" applyFont="1">
      <alignment horizontal="center" shrinkToFit="0" vertical="center" wrapText="1"/>
    </xf>
    <xf borderId="1" fillId="17" fontId="0" numFmtId="0" xfId="0" applyAlignment="1" applyBorder="1" applyFill="1" applyFont="1">
      <alignment horizontal="center" shrinkToFit="0" vertical="center" wrapText="1"/>
    </xf>
    <xf borderId="1" fillId="3" fontId="60" numFmtId="0" xfId="0" applyAlignment="1" applyBorder="1" applyFont="1">
      <alignment horizontal="center" shrinkToFit="0" vertical="center" wrapText="1"/>
    </xf>
    <xf borderId="1" fillId="3" fontId="50" numFmtId="0" xfId="0" applyAlignment="1" applyBorder="1" applyFont="1">
      <alignment horizontal="center" shrinkToFit="0" vertical="center" wrapText="1"/>
    </xf>
    <xf borderId="1" fillId="3" fontId="50" numFmtId="0" xfId="0" applyAlignment="1" applyBorder="1" applyFont="1">
      <alignment horizontal="center" readingOrder="0" shrinkToFit="0" vertical="center" wrapText="1"/>
    </xf>
    <xf borderId="0" fillId="0" fontId="61" numFmtId="0" xfId="0" applyAlignment="1" applyFont="1">
      <alignment horizontal="center" readingOrder="0" vertical="center"/>
    </xf>
    <xf borderId="1" fillId="3" fontId="48" numFmtId="0" xfId="0" applyAlignment="1" applyBorder="1" applyFont="1">
      <alignment horizontal="center" shrinkToFit="0" vertical="center" wrapText="1"/>
    </xf>
    <xf borderId="1" fillId="3" fontId="4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0" numFmtId="165" xfId="0" applyAlignment="1" applyBorder="1" applyFont="1" applyNumberFormat="1">
      <alignment horizontal="center" readingOrder="0" shrinkToFit="0" vertical="center" wrapText="1"/>
    </xf>
    <xf borderId="1" fillId="0" fontId="16" numFmtId="165" xfId="0" applyAlignment="1" applyBorder="1" applyFont="1" applyNumberFormat="1">
      <alignment horizontal="center" readingOrder="0" shrinkToFit="0" vertical="center" wrapText="1"/>
    </xf>
    <xf borderId="1" fillId="5" fontId="56" numFmtId="165" xfId="0" applyAlignment="1" applyBorder="1" applyFont="1" applyNumberFormat="1">
      <alignment horizontal="center" shrinkToFit="0" vertical="center" wrapText="1"/>
    </xf>
    <xf borderId="1" fillId="5" fontId="62" numFmtId="165" xfId="0" applyAlignment="1" applyBorder="1" applyFont="1" applyNumberFormat="1">
      <alignment horizontal="center" shrinkToFit="0" vertical="center" wrapText="1"/>
    </xf>
    <xf borderId="1" fillId="5" fontId="62" numFmtId="165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16" numFmtId="0" xfId="0" applyAlignment="1" applyBorder="1" applyFont="1">
      <alignment horizontal="center" readingOrder="0" shrinkToFit="0" vertical="center" wrapText="1"/>
    </xf>
    <xf borderId="1" fillId="18" fontId="63" numFmtId="0" xfId="0" applyAlignment="1" applyBorder="1" applyFill="1" applyFont="1">
      <alignment horizontal="center" readingOrder="0" shrinkToFit="0" vertical="center" wrapText="1"/>
    </xf>
    <xf borderId="1" fillId="0" fontId="63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5" fontId="64" numFmtId="0" xfId="0" applyAlignment="1" applyBorder="1" applyFont="1">
      <alignment horizontal="center" shrinkToFit="0" vertical="center" wrapText="1"/>
    </xf>
    <xf borderId="1" fillId="5" fontId="65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1" fillId="3" fontId="66" numFmtId="0" xfId="0" applyAlignment="1" applyBorder="1" applyFont="1">
      <alignment horizontal="center" shrinkToFit="0" vertical="center" wrapText="1"/>
    </xf>
    <xf borderId="1" fillId="3" fontId="67" numFmtId="0" xfId="0" applyAlignment="1" applyBorder="1" applyFont="1">
      <alignment horizontal="center" shrinkToFit="0" vertical="center" wrapText="1"/>
    </xf>
    <xf borderId="1" fillId="3" fontId="68" numFmtId="0" xfId="0" applyAlignment="1" applyBorder="1" applyFont="1">
      <alignment horizontal="center" shrinkToFit="0" vertical="center" wrapText="1"/>
    </xf>
    <xf borderId="1" fillId="5" fontId="69" numFmtId="0" xfId="0" applyAlignment="1" applyBorder="1" applyFont="1">
      <alignment horizontal="center" shrinkToFit="0" vertical="center" wrapText="1"/>
    </xf>
    <xf borderId="1" fillId="5" fontId="69" numFmtId="0" xfId="0" applyAlignment="1" applyBorder="1" applyFont="1">
      <alignment horizontal="center" readingOrder="0" shrinkToFit="0" vertical="center" wrapText="1"/>
    </xf>
    <xf borderId="1" fillId="7" fontId="0" numFmtId="0" xfId="0" applyAlignment="1" applyBorder="1" applyFont="1">
      <alignment horizontal="center" readingOrder="0" shrinkToFit="0" vertical="center" wrapText="1"/>
    </xf>
    <xf borderId="1" fillId="3" fontId="68" numFmtId="0" xfId="0" applyAlignment="1" applyBorder="1" applyFont="1">
      <alignment horizontal="center" readingOrder="0" shrinkToFit="0" vertical="center" wrapText="1"/>
    </xf>
    <xf borderId="1" fillId="3" fontId="70" numFmtId="0" xfId="0" applyAlignment="1" applyBorder="1" applyFont="1">
      <alignment horizontal="center" readingOrder="0" shrinkToFit="0" vertical="center" wrapText="1"/>
    </xf>
    <xf borderId="1" fillId="0" fontId="71" numFmtId="0" xfId="0" applyAlignment="1" applyBorder="1" applyFont="1">
      <alignment horizontal="center" readingOrder="0"/>
    </xf>
    <xf borderId="0" fillId="3" fontId="72" numFmtId="0" xfId="0" applyAlignment="1" applyFont="1">
      <alignment horizontal="center" readingOrder="0" shrinkToFit="0" wrapText="1"/>
    </xf>
    <xf borderId="0" fillId="0" fontId="71" numFmtId="0" xfId="0" applyAlignment="1" applyFont="1">
      <alignment horizontal="center" readingOrder="0"/>
    </xf>
    <xf borderId="1" fillId="8" fontId="12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1" fillId="11" fontId="0" numFmtId="0" xfId="0" applyAlignment="1" applyBorder="1" applyFont="1">
      <alignment horizontal="center" shrinkToFit="0" vertical="center" wrapText="1"/>
    </xf>
    <xf borderId="1" fillId="11" fontId="23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11" fontId="0" numFmtId="0" xfId="0" applyAlignment="1" applyBorder="1" applyFont="1">
      <alignment horizontal="center" readingOrder="0" shrinkToFit="0" vertical="center" wrapText="1"/>
    </xf>
    <xf borderId="1" fillId="5" fontId="73" numFmtId="0" xfId="0" applyAlignment="1" applyBorder="1" applyFont="1">
      <alignment horizontal="center" readingOrder="0" shrinkToFit="0" vertical="center" wrapText="1"/>
    </xf>
    <xf borderId="0" fillId="5" fontId="74" numFmtId="0" xfId="0" applyAlignment="1" applyFont="1">
      <alignment readingOrder="0"/>
    </xf>
    <xf borderId="0" fillId="5" fontId="75" numFmtId="0" xfId="0" applyAlignment="1" applyFont="1">
      <alignment horizontal="center" readingOrder="0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76" numFmtId="0" xfId="0" applyAlignment="1" applyBorder="1" applyFont="1">
      <alignment horizontal="center" shrinkToFit="0" vertical="center" wrapText="1"/>
    </xf>
    <xf borderId="1" fillId="5" fontId="69" numFmtId="165" xfId="0" applyAlignment="1" applyBorder="1" applyFont="1" applyNumberFormat="1">
      <alignment horizontal="center" shrinkToFit="0" vertical="center" wrapText="1"/>
    </xf>
    <xf borderId="1" fillId="5" fontId="77" numFmtId="165" xfId="0" applyAlignment="1" applyBorder="1" applyFont="1" applyNumberFormat="1">
      <alignment horizontal="center" shrinkToFit="0" vertical="center" wrapText="1"/>
    </xf>
    <xf borderId="1" fillId="5" fontId="78" numFmtId="165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1" fillId="3" fontId="79" numFmtId="165" xfId="0" applyAlignment="1" applyBorder="1" applyFont="1" applyNumberFormat="1">
      <alignment horizontal="center" readingOrder="0" shrinkToFit="0" vertical="center" wrapText="1"/>
    </xf>
    <xf borderId="0" fillId="0" fontId="80" numFmtId="165" xfId="0" applyAlignment="1" applyFont="1" applyNumberFormat="1">
      <alignment horizontal="center" readingOrder="0"/>
    </xf>
    <xf borderId="0" fillId="3" fontId="81" numFmtId="0" xfId="0" applyAlignment="1" applyFont="1">
      <alignment readingOrder="0"/>
    </xf>
    <xf borderId="1" fillId="5" fontId="18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5" fontId="18" numFmtId="165" xfId="0" applyAlignment="1" applyBorder="1" applyFont="1" applyNumberFormat="1">
      <alignment horizontal="center" readingOrder="0" shrinkToFit="0" vertical="center" wrapText="1"/>
    </xf>
    <xf borderId="1" fillId="5" fontId="20" numFmtId="165" xfId="0" applyAlignment="1" applyBorder="1" applyFont="1" applyNumberFormat="1">
      <alignment horizontal="center" readingOrder="0" shrinkToFit="0" vertical="center" wrapText="1"/>
    </xf>
    <xf borderId="1" fillId="3" fontId="82" numFmtId="165" xfId="0" applyAlignment="1" applyBorder="1" applyFont="1" applyNumberFormat="1">
      <alignment horizontal="center" readingOrder="0" shrinkToFit="0" vertical="center" wrapText="1"/>
    </xf>
    <xf borderId="1" fillId="0" fontId="83" numFmtId="0" xfId="0" applyAlignment="1" applyBorder="1" applyFont="1">
      <alignment horizontal="center" shrinkToFit="0" vertical="center" wrapText="1"/>
    </xf>
    <xf borderId="1" fillId="0" fontId="22" numFmtId="165" xfId="0" applyAlignment="1" applyBorder="1" applyFont="1" applyNumberFormat="1">
      <alignment horizontal="center" shrinkToFit="0" vertical="center" wrapText="1"/>
    </xf>
    <xf borderId="1" fillId="0" fontId="84" numFmtId="165" xfId="0" applyAlignment="1" applyBorder="1" applyFont="1" applyNumberFormat="1">
      <alignment horizontal="center" shrinkToFit="0" vertical="center" wrapText="1"/>
    </xf>
    <xf borderId="1" fillId="19" fontId="33" numFmtId="165" xfId="0" applyAlignment="1" applyBorder="1" applyFill="1" applyFont="1" applyNumberFormat="1">
      <alignment horizontal="center" readingOrder="0" shrinkToFit="0" vertical="center" wrapText="1"/>
    </xf>
    <xf borderId="1" fillId="19" fontId="85" numFmtId="165" xfId="0" applyAlignment="1" applyBorder="1" applyFont="1" applyNumberFormat="1">
      <alignment horizontal="center" readingOrder="0" shrinkToFit="0" vertical="center" wrapText="1"/>
    </xf>
    <xf borderId="1" fillId="19" fontId="34" numFmtId="165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5" fontId="47" numFmtId="0" xfId="0" applyAlignment="1" applyBorder="1" applyFont="1">
      <alignment horizontal="center" readingOrder="0" shrinkToFit="0" vertical="center" wrapText="1"/>
    </xf>
    <xf borderId="1" fillId="0" fontId="83" numFmtId="0" xfId="0" applyAlignment="1" applyBorder="1" applyFont="1">
      <alignment horizontal="center" readingOrder="0" shrinkToFit="0" vertical="center" wrapText="1"/>
    </xf>
    <xf borderId="1" fillId="5" fontId="83" numFmtId="0" xfId="0" applyAlignment="1" applyBorder="1" applyFont="1">
      <alignment horizontal="center" readingOrder="0" shrinkToFit="0" vertical="center" wrapText="1"/>
    </xf>
    <xf borderId="1" fillId="5" fontId="83" numFmtId="0" xfId="0" applyAlignment="1" applyBorder="1" applyFont="1">
      <alignment horizontal="center" shrinkToFit="0" vertical="center" wrapText="1"/>
    </xf>
    <xf borderId="1" fillId="3" fontId="83" numFmtId="0" xfId="0" applyAlignment="1" applyBorder="1" applyFont="1">
      <alignment horizontal="center" readingOrder="0" shrinkToFit="0" vertical="center" wrapText="1"/>
    </xf>
    <xf borderId="1" fillId="0" fontId="86" numFmtId="165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87" numFmtId="165" xfId="0" applyAlignment="1" applyFont="1" applyNumberFormat="1">
      <alignment readingOrder="0"/>
    </xf>
    <xf borderId="1" fillId="0" fontId="0" numFmtId="165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wrapText="1"/>
    </xf>
    <xf borderId="1" fillId="3" fontId="83" numFmtId="0" xfId="0" applyAlignment="1" applyBorder="1" applyFont="1">
      <alignment horizontal="center" shrinkToFit="0" vertical="center" wrapText="1"/>
    </xf>
    <xf borderId="1" fillId="3" fontId="0" numFmtId="165" xfId="0" applyAlignment="1" applyBorder="1" applyFont="1" applyNumberFormat="1">
      <alignment horizontal="center" readingOrder="0" shrinkToFit="0" vertical="center" wrapText="1"/>
    </xf>
    <xf borderId="1" fillId="3" fontId="0" numFmtId="165" xfId="0" applyAlignment="1" applyBorder="1" applyFont="1" applyNumberFormat="1">
      <alignment horizontal="center" shrinkToFit="0" vertical="center" wrapText="1"/>
    </xf>
    <xf borderId="1" fillId="3" fontId="88" numFmtId="0" xfId="0" applyAlignment="1" applyBorder="1" applyFont="1">
      <alignment horizontal="center" readingOrder="0" shrinkToFit="0" vertical="center" wrapText="1"/>
    </xf>
    <xf borderId="1" fillId="5" fontId="0" numFmtId="165" xfId="0" applyAlignment="1" applyBorder="1" applyFont="1" applyNumberFormat="1">
      <alignment horizontal="center" shrinkToFit="0" vertical="center" wrapText="1"/>
    </xf>
    <xf borderId="1" fillId="11" fontId="11" numFmtId="0" xfId="0" applyAlignment="1" applyBorder="1" applyFont="1">
      <alignment horizontal="center" readingOrder="0" shrinkToFit="0" vertical="center" wrapText="1"/>
    </xf>
    <xf borderId="1" fillId="11" fontId="0" numFmtId="165" xfId="0" applyAlignment="1" applyBorder="1" applyFont="1" applyNumberFormat="1">
      <alignment horizontal="center" shrinkToFit="0" vertical="center" wrapText="1"/>
    </xf>
    <xf borderId="1" fillId="11" fontId="0" numFmtId="165" xfId="0" applyAlignment="1" applyBorder="1" applyFont="1" applyNumberFormat="1">
      <alignment horizontal="center" shrinkToFit="0" vertical="center" wrapText="1"/>
    </xf>
    <xf borderId="1" fillId="11" fontId="0" numFmtId="165" xfId="0" applyAlignment="1" applyBorder="1" applyFont="1" applyNumberFormat="1">
      <alignment horizontal="center" readingOrder="0" shrinkToFit="0" vertical="center" wrapText="1"/>
    </xf>
    <xf borderId="0" fillId="3" fontId="89" numFmtId="165" xfId="0" applyAlignment="1" applyFont="1" applyNumberFormat="1">
      <alignment readingOrder="0"/>
    </xf>
    <xf borderId="0" fillId="3" fontId="89" numFmtId="0" xfId="0" applyAlignment="1" applyFont="1">
      <alignment readingOrder="0"/>
    </xf>
    <xf borderId="2" fillId="0" fontId="90" numFmtId="0" xfId="0" applyAlignment="1" applyBorder="1" applyFont="1">
      <alignment horizontal="center" readingOrder="0" vertical="top"/>
    </xf>
    <xf borderId="3" fillId="0" fontId="17" numFmtId="0" xfId="0" applyBorder="1" applyFont="1"/>
    <xf borderId="2" fillId="0" fontId="17" numFmtId="0" xfId="0" applyBorder="1" applyFont="1"/>
    <xf borderId="1" fillId="0" fontId="91" numFmtId="0" xfId="0" applyAlignment="1" applyBorder="1" applyFont="1">
      <alignment horizontal="center" readingOrder="0" shrinkToFit="0" vertical="center" wrapText="1"/>
    </xf>
    <xf borderId="1" fillId="0" fontId="91" numFmtId="0" xfId="0" applyAlignment="1" applyBorder="1" applyFont="1">
      <alignment horizontal="center" shrinkToFit="0" vertical="center" wrapText="1"/>
    </xf>
    <xf borderId="4" fillId="0" fontId="17" numFmtId="0" xfId="0" applyBorder="1" applyFont="1"/>
    <xf borderId="5" fillId="0" fontId="17" numFmtId="0" xfId="0" applyBorder="1" applyFont="1"/>
    <xf borderId="6" fillId="0" fontId="17" numFmtId="0" xfId="0" applyBorder="1" applyFont="1"/>
    <xf borderId="1" fillId="5" fontId="92" numFmtId="165" xfId="0" applyAlignment="1" applyBorder="1" applyFont="1" applyNumberFormat="1">
      <alignment horizontal="center" readingOrder="0" shrinkToFit="0" vertical="center" wrapText="1"/>
    </xf>
    <xf borderId="1" fillId="19" fontId="83" numFmtId="0" xfId="0" applyAlignment="1" applyBorder="1" applyFont="1">
      <alignment horizontal="center" readingOrder="0" shrinkToFit="0" vertical="center" wrapText="1"/>
    </xf>
    <xf borderId="1" fillId="0" fontId="93" numFmtId="165" xfId="0" applyAlignment="1" applyBorder="1" applyFont="1" applyNumberFormat="1">
      <alignment horizontal="center" readingOrder="0" shrinkToFit="0" vertical="center" wrapText="1"/>
    </xf>
    <xf borderId="1" fillId="3" fontId="94" numFmtId="0" xfId="0" applyAlignment="1" applyBorder="1" applyFont="1">
      <alignment horizontal="center" readingOrder="0"/>
    </xf>
    <xf borderId="1" fillId="8" fontId="11" numFmtId="0" xfId="0" applyAlignment="1" applyBorder="1" applyFont="1">
      <alignment horizontal="center" readingOrder="0" shrinkToFit="0" vertical="center" wrapText="1"/>
    </xf>
    <xf borderId="1" fillId="8" fontId="83" numFmtId="0" xfId="0" applyAlignment="1" applyBorder="1" applyFont="1">
      <alignment horizontal="center" shrinkToFit="0" vertical="center" wrapText="1"/>
    </xf>
    <xf borderId="1" fillId="8" fontId="0" numFmtId="0" xfId="0" applyAlignment="1" applyBorder="1" applyFont="1">
      <alignment horizontal="center" readingOrder="0" shrinkToFit="0" vertical="center" wrapText="1"/>
    </xf>
    <xf borderId="1" fillId="8" fontId="0" numFmtId="165" xfId="0" applyAlignment="1" applyBorder="1" applyFont="1" applyNumberFormat="1">
      <alignment horizontal="center" readingOrder="0" shrinkToFit="0" vertical="center" wrapText="1"/>
    </xf>
    <xf borderId="1" fillId="8" fontId="95" numFmtId="165" xfId="0" applyAlignment="1" applyBorder="1" applyFont="1" applyNumberFormat="1">
      <alignment horizontal="center" readingOrder="0" shrinkToFit="0" vertical="center" wrapText="1"/>
    </xf>
    <xf borderId="1" fillId="19" fontId="41" numFmtId="0" xfId="0" applyAlignment="1" applyBorder="1" applyFont="1">
      <alignment horizontal="center" readingOrder="0" shrinkToFit="0" vertical="center" wrapText="1"/>
    </xf>
    <xf borderId="1" fillId="19" fontId="12" numFmtId="0" xfId="0" applyAlignment="1" applyBorder="1" applyFont="1">
      <alignment horizontal="center" readingOrder="0" shrinkToFit="0" vertical="center" wrapText="1"/>
    </xf>
    <xf borderId="1" fillId="19" fontId="83" numFmtId="0" xfId="0" applyAlignment="1" applyBorder="1" applyFont="1">
      <alignment horizontal="center" shrinkToFit="0" vertical="center" wrapText="1"/>
    </xf>
    <xf borderId="1" fillId="19" fontId="17" numFmtId="166" xfId="0" applyAlignment="1" applyBorder="1" applyFont="1" applyNumberFormat="1">
      <alignment horizontal="center" readingOrder="0" shrinkToFit="0" vertical="center" wrapText="1"/>
    </xf>
    <xf borderId="1" fillId="19" fontId="0" numFmtId="165" xfId="0" applyAlignment="1" applyBorder="1" applyFont="1" applyNumberFormat="1">
      <alignment horizontal="center" readingOrder="0" shrinkToFit="0" vertical="center" wrapText="1"/>
    </xf>
    <xf borderId="1" fillId="19" fontId="0" numFmtId="165" xfId="0" applyAlignment="1" applyBorder="1" applyFont="1" applyNumberFormat="1">
      <alignment horizontal="center" shrinkToFit="0" vertical="center" wrapText="1"/>
    </xf>
    <xf borderId="1" fillId="19" fontId="96" numFmtId="0" xfId="0" applyAlignment="1" applyBorder="1" applyFont="1">
      <alignment horizontal="center" readingOrder="0" shrinkToFit="0" vertical="center" wrapText="1"/>
    </xf>
    <xf borderId="1" fillId="19" fontId="0" numFmtId="0" xfId="0" applyAlignment="1" applyBorder="1" applyFont="1">
      <alignment horizontal="center" shrinkToFit="0" vertical="center" wrapText="1"/>
    </xf>
    <xf borderId="1" fillId="8" fontId="41" numFmtId="0" xfId="0" applyAlignment="1" applyBorder="1" applyFont="1">
      <alignment horizontal="center" readingOrder="0" shrinkToFit="0" vertical="center" wrapText="1"/>
    </xf>
    <xf borderId="1" fillId="8" fontId="17" numFmtId="0" xfId="0" applyAlignment="1" applyBorder="1" applyFont="1">
      <alignment horizontal="center" shrinkToFit="0" vertical="center" wrapText="1"/>
    </xf>
    <xf borderId="1" fillId="8" fontId="0" numFmtId="165" xfId="0" applyAlignment="1" applyBorder="1" applyFont="1" applyNumberFormat="1">
      <alignment horizontal="center" readingOrder="0" shrinkToFit="0" vertical="center" wrapText="1"/>
    </xf>
    <xf borderId="1" fillId="8" fontId="0" numFmtId="165" xfId="0" applyAlignment="1" applyBorder="1" applyFont="1" applyNumberFormat="1">
      <alignment horizontal="center" shrinkToFit="0" vertical="center" wrapText="1"/>
    </xf>
    <xf borderId="1" fillId="8" fontId="96" numFmtId="0" xfId="0" applyAlignment="1" applyBorder="1" applyFont="1">
      <alignment horizontal="center" readingOrder="0" shrinkToFit="0" vertical="center" wrapText="1"/>
    </xf>
    <xf borderId="1" fillId="0" fontId="0" numFmtId="165" xfId="0" applyAlignment="1" applyBorder="1" applyFont="1" applyNumberForma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17" numFmtId="165" xfId="0" applyAlignment="1" applyFont="1" applyNumberFormat="1">
      <alignment horizontal="center" readingOrder="0"/>
    </xf>
    <xf quotePrefix="1" borderId="1" fillId="0" fontId="0" numFmtId="0" xfId="0" applyAlignment="1" applyBorder="1" applyFont="1">
      <alignment horizontal="center" readingOrder="0" shrinkToFit="0" vertical="center" wrapText="1"/>
    </xf>
    <xf borderId="1" fillId="20" fontId="11" numFmtId="0" xfId="0" applyAlignment="1" applyBorder="1" applyFill="1" applyFont="1">
      <alignment horizontal="center" readingOrder="0" shrinkToFit="0" vertical="center" wrapText="1"/>
    </xf>
    <xf borderId="1" fillId="20" fontId="91" numFmtId="0" xfId="0" applyAlignment="1" applyBorder="1" applyFont="1">
      <alignment horizontal="center" readingOrder="0" shrinkToFit="0" vertical="center" wrapText="1"/>
    </xf>
    <xf borderId="1" fillId="20" fontId="83" numFmtId="0" xfId="0" applyAlignment="1" applyBorder="1" applyFont="1">
      <alignment horizontal="center" shrinkToFit="0" vertical="center" wrapText="1"/>
    </xf>
    <xf borderId="1" fillId="20" fontId="83" numFmtId="0" xfId="0" applyAlignment="1" applyBorder="1" applyFont="1">
      <alignment horizontal="center" readingOrder="0" shrinkToFit="0" vertical="center" wrapText="1"/>
    </xf>
    <xf borderId="1" fillId="20" fontId="0" numFmtId="165" xfId="0" applyAlignment="1" applyBorder="1" applyFont="1" applyNumberFormat="1">
      <alignment horizontal="center" readingOrder="0" shrinkToFit="0" vertical="center" wrapText="1"/>
    </xf>
    <xf quotePrefix="1" borderId="1" fillId="20" fontId="0" numFmtId="0" xfId="0" applyAlignment="1" applyBorder="1" applyFont="1">
      <alignment horizontal="center" readingOrder="0" shrinkToFit="0" vertical="center" wrapText="1"/>
    </xf>
    <xf borderId="1" fillId="20" fontId="0" numFmtId="165" xfId="0" applyAlignment="1" applyBorder="1" applyFont="1" applyNumberFormat="1">
      <alignment horizontal="center" shrinkToFit="0" vertical="center" wrapText="1"/>
    </xf>
    <xf borderId="1" fillId="20" fontId="0" numFmtId="165" xfId="0" applyAlignment="1" applyBorder="1" applyFont="1" applyNumberFormat="1">
      <alignment horizontal="center" readingOrder="0" shrinkToFit="0" vertical="center" wrapText="1"/>
    </xf>
    <xf borderId="1" fillId="20" fontId="0" numFmtId="0" xfId="0" applyAlignment="1" applyBorder="1" applyFont="1">
      <alignment horizontal="center" shrinkToFit="0" vertical="center" wrapText="1"/>
    </xf>
    <xf borderId="0" fillId="3" fontId="97" numFmtId="165" xfId="0" applyAlignment="1" applyFont="1" applyNumberFormat="1">
      <alignment readingOrder="0" shrinkToFit="0" wrapText="1"/>
    </xf>
    <xf borderId="1" fillId="11" fontId="91" numFmtId="0" xfId="0" applyAlignment="1" applyBorder="1" applyFont="1">
      <alignment horizontal="center" readingOrder="0" shrinkToFit="0" vertical="center" wrapText="1"/>
    </xf>
    <xf borderId="1" fillId="20" fontId="9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99" numFmtId="0" xfId="0" applyAlignment="1" applyBorder="1" applyFont="1">
      <alignment horizontal="center" readingOrder="0" shrinkToFit="0" vertical="center" wrapText="1"/>
    </xf>
    <xf borderId="0" fillId="0" fontId="100" numFmtId="0" xfId="0" applyAlignment="1" applyFont="1">
      <alignment readingOrder="0"/>
    </xf>
    <xf borderId="0" fillId="21" fontId="101" numFmtId="0" xfId="0" applyAlignment="1" applyFill="1" applyFont="1">
      <alignment horizontal="center" readingOrder="0" shrinkToFit="0" wrapText="1"/>
    </xf>
    <xf borderId="0" fillId="21" fontId="101" numFmtId="0" xfId="0" applyAlignment="1" applyFont="1">
      <alignment horizontal="center"/>
    </xf>
    <xf borderId="1" fillId="0" fontId="102" numFmtId="0" xfId="0" applyAlignment="1" applyBorder="1" applyFont="1">
      <alignment horizontal="left" readingOrder="0" shrinkToFit="0" vertical="top" wrapText="1"/>
    </xf>
    <xf borderId="1" fillId="0" fontId="17" numFmtId="0" xfId="0" applyAlignment="1" applyBorder="1" applyFont="1">
      <alignment horizontal="left" readingOrder="0" shrinkToFit="0" wrapText="1"/>
    </xf>
    <xf borderId="1" fillId="0" fontId="17" numFmtId="0" xfId="0" applyAlignment="1" applyBorder="1" applyFont="1">
      <alignment horizontal="left" shrinkToFit="0" wrapText="1"/>
    </xf>
    <xf borderId="1" fillId="3" fontId="63" numFmtId="0" xfId="0" applyAlignment="1" applyBorder="1" applyFont="1">
      <alignment horizontal="left" readingOrder="0" shrinkToFit="0" wrapText="1"/>
    </xf>
    <xf borderId="1" fillId="0" fontId="102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shrinkToFit="0" wrapText="1"/>
    </xf>
    <xf borderId="1" fillId="0" fontId="102" numFmtId="0" xfId="0" applyAlignment="1" applyBorder="1" applyFont="1">
      <alignment horizontal="left" readingOrder="0" shrinkToFit="0" wrapText="1"/>
    </xf>
    <xf borderId="1" fillId="0" fontId="17" numFmtId="0" xfId="0" applyBorder="1" applyFont="1"/>
    <xf borderId="1" fillId="0" fontId="103" numFmtId="0" xfId="0" applyAlignment="1" applyBorder="1" applyFont="1">
      <alignment readingOrder="0" shrinkToFit="0" vertical="top" wrapText="1"/>
    </xf>
    <xf borderId="1" fillId="0" fontId="102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readingOrder="0" shrinkToFit="0" wrapText="1"/>
    </xf>
    <xf borderId="1" fillId="3" fontId="63" numFmtId="0" xfId="0" applyAlignment="1" applyBorder="1" applyFont="1">
      <alignment horizontal="center" readingOrder="0" shrinkToFit="0" wrapText="1"/>
    </xf>
    <xf borderId="7" fillId="19" fontId="104" numFmtId="0" xfId="0" applyAlignment="1" applyBorder="1" applyFont="1">
      <alignment horizontal="center" readingOrder="0"/>
    </xf>
    <xf borderId="8" fillId="19" fontId="2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horizontal="left" shrinkToFit="0" wrapText="1"/>
    </xf>
    <xf borderId="0" fillId="0" fontId="17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24:J97" displayName="Table1" name="Table1" id="1">
  <tableColumns count="6">
    <tableColumn name="L720" id="1"/>
    <tableColumn name="Column 1" id="2"/>
    <tableColumn name="Column 2" id="3"/>
    <tableColumn name="Column 3" id="4"/>
    <tableColumn name="703-840-8392" id="5"/>
    <tableColumn name="IAD RES &lt;iadres@emirates.com&gt;; IADMGR &lt;iadmgr@casusa.com&gt;; Mahmoud Reda.Saad &lt;MSaad@wfs.aero&gt;; Nadia Elmana &lt;Nadia.Elmana@wfs.aero&gt;" id="6"/>
  </tableColumns>
  <tableStyleInfo name="Sheet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eena.isree@wfs.aero" TargetMode="External"/><Relationship Id="rId2" Type="http://schemas.openxmlformats.org/officeDocument/2006/relationships/hyperlink" Target="mailto:beena.isree@wfs.aero" TargetMode="External"/><Relationship Id="rId3" Type="http://schemas.openxmlformats.org/officeDocument/2006/relationships/hyperlink" Target="mailto:Claudia.Acosta@wfs.aero" TargetMode="External"/><Relationship Id="rId4" Type="http://schemas.openxmlformats.org/officeDocument/2006/relationships/hyperlink" Target="mailto:imports.cmh@midwestexpressco.com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://epic.epicxp.com" TargetMode="External"/><Relationship Id="rId6" Type="http://schemas.openxmlformats.org/officeDocument/2006/relationships/hyperlink" Target="https://portal.mercuryaircargo.com/" TargetMode="External"/><Relationship Id="rId7" Type="http://schemas.openxmlformats.org/officeDocument/2006/relationships/hyperlink" Target="https://track.champ.aero/fj" TargetMode="External"/><Relationship Id="rId8" Type="http://schemas.openxmlformats.org/officeDocument/2006/relationships/hyperlink" Target="https://track.champ.aero/fj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EVERLYBROWN1974@GMAIL.COM" TargetMode="External"/><Relationship Id="rId2" Type="http://schemas.openxmlformats.org/officeDocument/2006/relationships/hyperlink" Target="mailto:MEI@TCKEXPRESSINC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86"/>
    <col customWidth="1" min="2" max="2" width="26.71"/>
    <col customWidth="1" min="3" max="3" width="20.43"/>
    <col customWidth="1" min="4" max="4" width="12.71"/>
    <col customWidth="1" min="5" max="5" width="34.57"/>
    <col customWidth="1" min="6" max="6" width="19.57"/>
    <col customWidth="1" min="7" max="7" width="47.0"/>
    <col customWidth="1" min="8" max="8" width="17.57"/>
    <col customWidth="1" min="9" max="9" width="42.14"/>
    <col customWidth="1" min="10" max="10" width="84.29"/>
    <col customWidth="1" min="11" max="31" width="39.71"/>
  </cols>
  <sheetData>
    <row r="1" ht="39.75" customHeight="1">
      <c r="A1" s="1"/>
      <c r="B1" s="2" t="s">
        <v>0</v>
      </c>
      <c r="C1" s="2" t="s">
        <v>1</v>
      </c>
      <c r="D1" s="1"/>
      <c r="E1" s="2" t="s">
        <v>2</v>
      </c>
      <c r="F1" s="2" t="s">
        <v>3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24.75" customHeight="1">
      <c r="A2" s="5" t="s">
        <v>4</v>
      </c>
      <c r="B2" s="6" t="s">
        <v>5</v>
      </c>
      <c r="C2" s="7"/>
      <c r="D2" s="8" t="s">
        <v>6</v>
      </c>
      <c r="E2" s="9" t="s">
        <v>7</v>
      </c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4.75" customHeight="1">
      <c r="A3" s="11">
        <v>4701.0</v>
      </c>
      <c r="B3" s="6" t="s">
        <v>8</v>
      </c>
      <c r="C3" s="7"/>
      <c r="D3" s="9"/>
      <c r="E3" s="9" t="s">
        <v>9</v>
      </c>
      <c r="F3" s="10"/>
      <c r="G3" s="12"/>
      <c r="H3" s="4"/>
      <c r="I3" s="13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24.75" customHeight="1">
      <c r="A4" s="5" t="s">
        <v>11</v>
      </c>
      <c r="B4" s="6" t="s">
        <v>12</v>
      </c>
      <c r="C4" s="14" t="s">
        <v>13</v>
      </c>
      <c r="D4" s="9"/>
      <c r="E4" s="9" t="s">
        <v>14</v>
      </c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24.75" customHeight="1">
      <c r="A5" s="5" t="s">
        <v>15</v>
      </c>
      <c r="B5" s="6" t="s">
        <v>16</v>
      </c>
      <c r="C5" s="15"/>
      <c r="D5" s="9"/>
      <c r="E5" s="9" t="s">
        <v>17</v>
      </c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24.75" customHeight="1">
      <c r="A6" s="5" t="s">
        <v>18</v>
      </c>
      <c r="B6" s="6" t="s">
        <v>19</v>
      </c>
      <c r="C6" s="16"/>
      <c r="D6" s="9"/>
      <c r="E6" s="9" t="s">
        <v>20</v>
      </c>
      <c r="F6" s="10"/>
      <c r="G6" s="13" t="s">
        <v>21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24.75" customHeight="1">
      <c r="A7" s="5" t="s">
        <v>22</v>
      </c>
      <c r="B7" s="17" t="s">
        <v>23</v>
      </c>
      <c r="C7" s="15"/>
      <c r="D7" s="9"/>
      <c r="E7" s="9" t="s">
        <v>24</v>
      </c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24.75" customHeight="1">
      <c r="A8" s="5" t="s">
        <v>25</v>
      </c>
      <c r="B8" s="6" t="s">
        <v>26</v>
      </c>
      <c r="C8" s="16"/>
      <c r="D8" s="9"/>
      <c r="E8" s="9" t="s">
        <v>27</v>
      </c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24.75" customHeight="1">
      <c r="A9" s="5" t="s">
        <v>28</v>
      </c>
      <c r="B9" s="17" t="s">
        <v>29</v>
      </c>
      <c r="C9" s="16"/>
      <c r="D9" s="9"/>
      <c r="E9" s="9" t="s">
        <v>30</v>
      </c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24.75" customHeight="1">
      <c r="A10" s="11" t="s">
        <v>31</v>
      </c>
      <c r="B10" s="17" t="s">
        <v>32</v>
      </c>
      <c r="C10" s="4"/>
      <c r="D10" s="9"/>
      <c r="E10" s="4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4.75" customHeight="1">
      <c r="A11" s="4"/>
      <c r="B11" s="4"/>
      <c r="C11" s="13"/>
      <c r="D11" s="4"/>
      <c r="E11" s="4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44.25" customHeight="1">
      <c r="A12" s="18" t="s">
        <v>33</v>
      </c>
      <c r="B12" s="18" t="s">
        <v>0</v>
      </c>
      <c r="C12" s="19" t="s">
        <v>1</v>
      </c>
      <c r="D12" s="18"/>
      <c r="E12" s="18" t="s">
        <v>2</v>
      </c>
      <c r="F12" s="20" t="s">
        <v>34</v>
      </c>
      <c r="G12" s="19" t="s">
        <v>35</v>
      </c>
      <c r="H12" s="19" t="s">
        <v>36</v>
      </c>
      <c r="I12" s="18" t="s">
        <v>37</v>
      </c>
      <c r="J12" s="18" t="s">
        <v>38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24.75" customHeight="1">
      <c r="A13" s="21" t="s">
        <v>39</v>
      </c>
      <c r="B13" s="22" t="s">
        <v>40</v>
      </c>
      <c r="C13" s="23" t="s">
        <v>41</v>
      </c>
      <c r="D13" s="24"/>
      <c r="E13" s="24" t="s">
        <v>42</v>
      </c>
      <c r="F13" s="25">
        <v>180.5</v>
      </c>
      <c r="G13" s="26" t="s">
        <v>43</v>
      </c>
      <c r="H13" s="27" t="s">
        <v>44</v>
      </c>
      <c r="I13" s="28" t="s">
        <v>45</v>
      </c>
      <c r="J13" s="29" t="s">
        <v>46</v>
      </c>
      <c r="K13" s="13" t="s">
        <v>47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24.75" customHeight="1">
      <c r="A14" s="30"/>
      <c r="B14" s="31" t="s">
        <v>48</v>
      </c>
      <c r="C14" s="32" t="s">
        <v>41</v>
      </c>
      <c r="D14" s="33"/>
      <c r="E14" s="34" t="s">
        <v>49</v>
      </c>
      <c r="F14" s="35">
        <v>100.0</v>
      </c>
      <c r="G14" s="36"/>
      <c r="H14" s="37" t="s">
        <v>50</v>
      </c>
      <c r="I14" s="37" t="s">
        <v>51</v>
      </c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24.75" customHeight="1">
      <c r="A15" s="30"/>
      <c r="B15" s="40" t="s">
        <v>52</v>
      </c>
      <c r="C15" s="41" t="s">
        <v>41</v>
      </c>
      <c r="D15" s="33"/>
      <c r="E15" s="33" t="s">
        <v>53</v>
      </c>
      <c r="F15" s="42"/>
      <c r="G15" s="36"/>
      <c r="H15" s="43"/>
      <c r="I15" s="43" t="s">
        <v>54</v>
      </c>
      <c r="J15" s="38" t="s">
        <v>55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24.75" customHeight="1">
      <c r="A16" s="30"/>
      <c r="B16" s="40" t="s">
        <v>56</v>
      </c>
      <c r="C16" s="41" t="s">
        <v>41</v>
      </c>
      <c r="D16" s="33"/>
      <c r="E16" s="34" t="s">
        <v>57</v>
      </c>
      <c r="F16" s="35">
        <v>95.0</v>
      </c>
      <c r="G16" s="44" t="s">
        <v>58</v>
      </c>
      <c r="H16" s="37" t="s">
        <v>59</v>
      </c>
      <c r="I16" s="43">
        <v>3.1025861E9</v>
      </c>
      <c r="J16" s="38" t="s">
        <v>60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ht="24.75" customHeight="1">
      <c r="A17" s="46"/>
      <c r="B17" s="31" t="s">
        <v>61</v>
      </c>
      <c r="C17" s="32" t="s">
        <v>41</v>
      </c>
      <c r="D17" s="34"/>
      <c r="E17" s="34" t="s">
        <v>49</v>
      </c>
      <c r="F17" s="42">
        <v>90.0</v>
      </c>
      <c r="G17" s="44" t="s">
        <v>62</v>
      </c>
      <c r="H17" s="37"/>
      <c r="I17" s="37" t="s">
        <v>63</v>
      </c>
      <c r="J17" s="38" t="s">
        <v>64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ht="24.75" customHeight="1">
      <c r="A18" s="30"/>
      <c r="B18" s="31" t="s">
        <v>65</v>
      </c>
      <c r="C18" s="32" t="s">
        <v>41</v>
      </c>
      <c r="D18" s="34"/>
      <c r="E18" s="34" t="s">
        <v>66</v>
      </c>
      <c r="F18" s="42" t="s">
        <v>67</v>
      </c>
      <c r="G18" s="48"/>
      <c r="H18" s="49" t="s">
        <v>68</v>
      </c>
      <c r="I18" s="50" t="s">
        <v>69</v>
      </c>
      <c r="J18" s="38" t="s">
        <v>70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ht="24.75" customHeight="1">
      <c r="A19" s="46"/>
      <c r="B19" s="31" t="s">
        <v>71</v>
      </c>
      <c r="C19" s="32" t="s">
        <v>41</v>
      </c>
      <c r="D19" s="34"/>
      <c r="E19" s="34" t="s">
        <v>72</v>
      </c>
      <c r="F19" s="35">
        <v>75.0</v>
      </c>
      <c r="G19" s="44" t="s">
        <v>73</v>
      </c>
      <c r="H19" s="37"/>
      <c r="I19" s="37" t="s">
        <v>74</v>
      </c>
      <c r="J19" s="5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24.75" customHeight="1">
      <c r="A20" s="30"/>
      <c r="B20" s="31" t="s">
        <v>75</v>
      </c>
      <c r="C20" s="32" t="s">
        <v>41</v>
      </c>
      <c r="D20" s="34"/>
      <c r="E20" s="34" t="s">
        <v>76</v>
      </c>
      <c r="F20" s="42"/>
      <c r="G20" s="44"/>
      <c r="H20" s="37"/>
      <c r="I20" s="37" t="s">
        <v>77</v>
      </c>
      <c r="J20" s="3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24.75" customHeight="1">
      <c r="A21" s="30"/>
      <c r="B21" s="31" t="s">
        <v>78</v>
      </c>
      <c r="C21" s="32" t="s">
        <v>41</v>
      </c>
      <c r="D21" s="33"/>
      <c r="E21" s="34" t="s">
        <v>79</v>
      </c>
      <c r="F21" s="42"/>
      <c r="G21" s="36"/>
      <c r="H21" s="43"/>
      <c r="I21" s="37">
        <v>3.05492862E9</v>
      </c>
      <c r="J21" s="38" t="s">
        <v>80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24.75" customHeight="1">
      <c r="A22" s="30"/>
      <c r="B22" s="31" t="s">
        <v>81</v>
      </c>
      <c r="C22" s="32" t="s">
        <v>41</v>
      </c>
      <c r="D22" s="33"/>
      <c r="E22" s="34" t="s">
        <v>82</v>
      </c>
      <c r="F22" s="42">
        <v>90.0</v>
      </c>
      <c r="G22" s="36"/>
      <c r="H22" s="43"/>
      <c r="I22" s="37" t="s">
        <v>83</v>
      </c>
      <c r="J22" s="3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24.75" customHeight="1">
      <c r="A23" s="30"/>
      <c r="B23" s="31"/>
      <c r="C23" s="32"/>
      <c r="D23" s="33"/>
      <c r="E23" s="53"/>
      <c r="F23" s="54"/>
      <c r="G23" s="55"/>
      <c r="H23" s="56"/>
      <c r="I23" s="56"/>
      <c r="J23" s="5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24.75" customHeight="1">
      <c r="A24" s="30"/>
      <c r="B24" s="31" t="s">
        <v>84</v>
      </c>
      <c r="C24" s="32" t="s">
        <v>41</v>
      </c>
      <c r="D24" s="33"/>
      <c r="E24" s="58" t="s">
        <v>85</v>
      </c>
      <c r="F24" s="59" t="s">
        <v>86</v>
      </c>
      <c r="G24" s="60" t="s">
        <v>87</v>
      </c>
      <c r="H24" s="61" t="s">
        <v>88</v>
      </c>
      <c r="I24" s="61" t="s">
        <v>89</v>
      </c>
      <c r="J24" s="62" t="s">
        <v>90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24.75" customHeight="1">
      <c r="A25" s="30"/>
      <c r="B25" s="31" t="s">
        <v>91</v>
      </c>
      <c r="C25" s="32" t="s">
        <v>41</v>
      </c>
      <c r="D25" s="33"/>
      <c r="E25" s="63" t="s">
        <v>92</v>
      </c>
      <c r="F25" s="64"/>
      <c r="G25" s="65"/>
      <c r="H25" s="66"/>
      <c r="I25" s="66"/>
      <c r="J25" s="6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24.75" customHeight="1">
      <c r="A26" s="30"/>
      <c r="B26" s="31" t="s">
        <v>93</v>
      </c>
      <c r="C26" s="32" t="s">
        <v>41</v>
      </c>
      <c r="D26" s="33"/>
      <c r="E26" s="63" t="s">
        <v>94</v>
      </c>
      <c r="F26" s="64"/>
      <c r="G26" s="65"/>
      <c r="H26" s="66"/>
      <c r="I26" s="66"/>
      <c r="J26" s="6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24.75" customHeight="1">
      <c r="A27" s="30"/>
      <c r="B27" s="31" t="s">
        <v>95</v>
      </c>
      <c r="C27" s="32" t="s">
        <v>41</v>
      </c>
      <c r="D27" s="33"/>
      <c r="E27" s="63" t="s">
        <v>96</v>
      </c>
      <c r="F27" s="64"/>
      <c r="G27" s="65"/>
      <c r="H27" s="66"/>
      <c r="I27" s="66"/>
      <c r="J27" s="6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24.75" customHeight="1">
      <c r="A28" s="30"/>
      <c r="B28" s="31" t="s">
        <v>97</v>
      </c>
      <c r="C28" s="32" t="s">
        <v>41</v>
      </c>
      <c r="D28" s="33"/>
      <c r="E28" s="63" t="s">
        <v>98</v>
      </c>
      <c r="F28" s="64"/>
      <c r="G28" s="65"/>
      <c r="H28" s="66"/>
      <c r="I28" s="66"/>
      <c r="J28" s="6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24.75" customHeight="1">
      <c r="A29" s="21" t="s">
        <v>99</v>
      </c>
      <c r="B29" s="22" t="s">
        <v>40</v>
      </c>
      <c r="C29" s="23" t="s">
        <v>100</v>
      </c>
      <c r="D29" s="24"/>
      <c r="E29" s="68" t="s">
        <v>101</v>
      </c>
      <c r="F29" s="69">
        <v>170.0</v>
      </c>
      <c r="G29" s="70" t="s">
        <v>102</v>
      </c>
      <c r="H29" s="71" t="s">
        <v>103</v>
      </c>
      <c r="I29" s="72" t="s">
        <v>104</v>
      </c>
      <c r="J29" s="73" t="s">
        <v>105</v>
      </c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24.75" customHeight="1">
      <c r="A30" s="30"/>
      <c r="B30" s="40" t="s">
        <v>56</v>
      </c>
      <c r="C30" s="41" t="s">
        <v>100</v>
      </c>
      <c r="D30" s="33"/>
      <c r="E30" s="74" t="s">
        <v>106</v>
      </c>
      <c r="F30" s="75">
        <v>210.0</v>
      </c>
      <c r="G30" s="65"/>
      <c r="H30" s="66"/>
      <c r="I30" s="66" t="s">
        <v>107</v>
      </c>
      <c r="J30" s="67" t="s">
        <v>108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</row>
    <row r="31" ht="24.75" customHeight="1">
      <c r="A31" s="46"/>
      <c r="B31" s="40" t="s">
        <v>78</v>
      </c>
      <c r="C31" s="41" t="s">
        <v>100</v>
      </c>
      <c r="D31" s="33"/>
      <c r="E31" s="63" t="s">
        <v>109</v>
      </c>
      <c r="F31" s="64"/>
      <c r="G31" s="65"/>
      <c r="H31" s="76" t="s">
        <v>50</v>
      </c>
      <c r="I31" s="76" t="s">
        <v>110</v>
      </c>
      <c r="J31" s="67" t="s">
        <v>111</v>
      </c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</row>
    <row r="32" ht="24.75" customHeight="1">
      <c r="A32" s="30"/>
      <c r="B32" s="31" t="s">
        <v>65</v>
      </c>
      <c r="C32" s="32" t="s">
        <v>100</v>
      </c>
      <c r="D32" s="34"/>
      <c r="E32" s="63" t="s">
        <v>112</v>
      </c>
      <c r="F32" s="75">
        <v>90.0</v>
      </c>
      <c r="G32" s="65"/>
      <c r="H32" s="76" t="s">
        <v>50</v>
      </c>
      <c r="I32" s="76" t="s">
        <v>113</v>
      </c>
      <c r="J32" s="67" t="s">
        <v>114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24.75" customHeight="1">
      <c r="A33" s="30"/>
      <c r="B33" s="31" t="s">
        <v>115</v>
      </c>
      <c r="C33" s="32" t="s">
        <v>100</v>
      </c>
      <c r="D33" s="33"/>
      <c r="E33" s="63" t="s">
        <v>116</v>
      </c>
      <c r="F33" s="64"/>
      <c r="G33" s="65"/>
      <c r="H33" s="66"/>
      <c r="I33" s="76" t="s">
        <v>117</v>
      </c>
      <c r="J33" s="67" t="s">
        <v>118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24.75" customHeight="1">
      <c r="A34" s="30"/>
      <c r="B34" s="31" t="s">
        <v>81</v>
      </c>
      <c r="C34" s="32" t="s">
        <v>100</v>
      </c>
      <c r="E34" s="63" t="s">
        <v>119</v>
      </c>
      <c r="F34" s="65"/>
      <c r="H34" s="66"/>
      <c r="I34" s="76" t="s">
        <v>120</v>
      </c>
      <c r="J34" s="67" t="s">
        <v>121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24.75" customHeight="1">
      <c r="A35" s="30"/>
      <c r="B35" s="31" t="s">
        <v>81</v>
      </c>
      <c r="C35" s="32" t="s">
        <v>100</v>
      </c>
      <c r="D35" s="33"/>
      <c r="E35" s="63" t="s">
        <v>122</v>
      </c>
      <c r="F35" s="75">
        <v>165.0</v>
      </c>
      <c r="G35" s="65"/>
      <c r="H35" s="66"/>
      <c r="I35" s="76" t="s">
        <v>123</v>
      </c>
      <c r="J35" s="7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24.75" customHeight="1">
      <c r="A36" s="30"/>
      <c r="B36" s="31" t="s">
        <v>124</v>
      </c>
      <c r="C36" s="32" t="s">
        <v>100</v>
      </c>
      <c r="D36" s="33"/>
      <c r="E36" s="63" t="s">
        <v>125</v>
      </c>
      <c r="F36" s="75">
        <v>150.0</v>
      </c>
      <c r="G36" s="65"/>
      <c r="H36" s="66"/>
      <c r="I36" s="76" t="s">
        <v>126</v>
      </c>
      <c r="J36" s="67" t="s">
        <v>127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24.75" customHeight="1">
      <c r="A37" s="30"/>
      <c r="B37" s="31" t="s">
        <v>128</v>
      </c>
      <c r="C37" s="32" t="s">
        <v>100</v>
      </c>
      <c r="D37" s="33"/>
      <c r="E37" s="63" t="s">
        <v>129</v>
      </c>
      <c r="F37" s="75">
        <v>175.0</v>
      </c>
      <c r="G37" s="65"/>
      <c r="H37" s="76" t="s">
        <v>130</v>
      </c>
      <c r="I37" s="79" t="s">
        <v>131</v>
      </c>
      <c r="J37" s="67" t="s">
        <v>132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24.75" customHeight="1">
      <c r="A38" s="30"/>
      <c r="B38" s="31" t="s">
        <v>133</v>
      </c>
      <c r="C38" s="32" t="s">
        <v>100</v>
      </c>
      <c r="D38" s="33"/>
      <c r="E38" s="63" t="s">
        <v>134</v>
      </c>
      <c r="F38" s="75">
        <v>80.0</v>
      </c>
      <c r="G38" s="65"/>
      <c r="H38" s="76" t="s">
        <v>135</v>
      </c>
      <c r="I38" s="80" t="s">
        <v>136</v>
      </c>
      <c r="J38" s="81" t="s">
        <v>137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24.75" customHeight="1">
      <c r="A39" s="21" t="s">
        <v>138</v>
      </c>
      <c r="B39" s="22" t="s">
        <v>40</v>
      </c>
      <c r="C39" s="23" t="s">
        <v>139</v>
      </c>
      <c r="D39" s="24"/>
      <c r="E39" s="68" t="s">
        <v>140</v>
      </c>
      <c r="F39" s="82">
        <v>160.0</v>
      </c>
      <c r="G39" s="83"/>
      <c r="H39" s="72"/>
      <c r="I39" s="72" t="s">
        <v>141</v>
      </c>
      <c r="J39" s="73" t="s">
        <v>10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24.75" customHeight="1">
      <c r="A40" s="30"/>
      <c r="B40" s="40" t="s">
        <v>56</v>
      </c>
      <c r="C40" s="41" t="s">
        <v>139</v>
      </c>
      <c r="D40" s="33"/>
      <c r="E40" s="74" t="s">
        <v>142</v>
      </c>
      <c r="F40" s="64">
        <v>85.0</v>
      </c>
      <c r="G40" s="65"/>
      <c r="H40" s="76" t="s">
        <v>59</v>
      </c>
      <c r="I40" s="84" t="s">
        <v>143</v>
      </c>
      <c r="J40" s="67" t="s">
        <v>144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</row>
    <row r="41" ht="24.75" customHeight="1">
      <c r="A41" s="30"/>
      <c r="B41" s="31" t="s">
        <v>61</v>
      </c>
      <c r="C41" s="32" t="s">
        <v>139</v>
      </c>
      <c r="D41" s="34"/>
      <c r="E41" s="63" t="s">
        <v>49</v>
      </c>
      <c r="F41" s="64"/>
      <c r="G41" s="85"/>
      <c r="H41" s="86"/>
      <c r="I41" s="86" t="s">
        <v>145</v>
      </c>
      <c r="J41" s="67" t="s">
        <v>146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ht="24.75" customHeight="1">
      <c r="A42" s="30"/>
      <c r="B42" s="31" t="s">
        <v>65</v>
      </c>
      <c r="C42" s="32" t="s">
        <v>139</v>
      </c>
      <c r="D42" s="34"/>
      <c r="E42" s="63" t="s">
        <v>147</v>
      </c>
      <c r="F42" s="64"/>
      <c r="G42" s="85"/>
      <c r="H42" s="86"/>
      <c r="I42" s="86" t="s">
        <v>148</v>
      </c>
      <c r="J42" s="67" t="s">
        <v>149</v>
      </c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</row>
    <row r="43" ht="24.75" customHeight="1">
      <c r="A43" s="30"/>
      <c r="B43" s="31" t="s">
        <v>8</v>
      </c>
      <c r="C43" s="32" t="s">
        <v>139</v>
      </c>
      <c r="D43" s="33"/>
      <c r="E43" s="63" t="s">
        <v>150</v>
      </c>
      <c r="F43" s="64"/>
      <c r="G43" s="65"/>
      <c r="H43" s="66"/>
      <c r="I43" s="76" t="s">
        <v>151</v>
      </c>
      <c r="J43" s="7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24.75" customHeight="1">
      <c r="A44" s="30"/>
      <c r="B44" s="31" t="s">
        <v>124</v>
      </c>
      <c r="C44" s="32" t="s">
        <v>139</v>
      </c>
      <c r="D44" s="33"/>
      <c r="E44" s="63" t="s">
        <v>152</v>
      </c>
      <c r="F44" s="64"/>
      <c r="G44" s="65"/>
      <c r="H44" s="66"/>
      <c r="I44" s="66"/>
      <c r="J44" s="7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24.75" customHeight="1">
      <c r="A45" s="30"/>
      <c r="B45" s="31" t="s">
        <v>78</v>
      </c>
      <c r="C45" s="41"/>
      <c r="D45" s="33"/>
      <c r="E45" s="63" t="s">
        <v>153</v>
      </c>
      <c r="F45" s="64"/>
      <c r="G45" s="65"/>
      <c r="H45" s="66"/>
      <c r="I45" s="76">
        <v>3.0587427E9</v>
      </c>
      <c r="J45" s="7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24.75" customHeight="1">
      <c r="A46" s="21" t="s">
        <v>154</v>
      </c>
      <c r="B46" s="22" t="s">
        <v>40</v>
      </c>
      <c r="C46" s="23" t="s">
        <v>155</v>
      </c>
      <c r="D46" s="24"/>
      <c r="E46" s="68" t="s">
        <v>156</v>
      </c>
      <c r="F46" s="69">
        <v>210.5</v>
      </c>
      <c r="G46" s="83" t="s">
        <v>157</v>
      </c>
      <c r="H46" s="72"/>
      <c r="I46" s="72" t="s">
        <v>158</v>
      </c>
      <c r="J46" s="73" t="s">
        <v>159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24.75" customHeight="1">
      <c r="A47" s="30"/>
      <c r="B47" s="40" t="s">
        <v>56</v>
      </c>
      <c r="C47" s="41" t="s">
        <v>155</v>
      </c>
      <c r="D47" s="33"/>
      <c r="E47" s="74" t="s">
        <v>160</v>
      </c>
      <c r="F47" s="64">
        <v>160.0</v>
      </c>
      <c r="G47" s="88" t="s">
        <v>157</v>
      </c>
      <c r="H47" s="66"/>
      <c r="I47" s="76" t="s">
        <v>161</v>
      </c>
      <c r="J47" s="67" t="s">
        <v>162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</row>
    <row r="48" ht="24.75" customHeight="1">
      <c r="A48" s="30"/>
      <c r="B48" s="31" t="s">
        <v>65</v>
      </c>
      <c r="C48" s="32" t="s">
        <v>155</v>
      </c>
      <c r="D48" s="34"/>
      <c r="E48" s="63" t="s">
        <v>163</v>
      </c>
      <c r="F48" s="64">
        <v>145.0</v>
      </c>
      <c r="G48" s="89" t="s">
        <v>164</v>
      </c>
      <c r="H48" s="90"/>
      <c r="I48" s="90" t="s">
        <v>165</v>
      </c>
      <c r="J48" s="67" t="s">
        <v>166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</row>
    <row r="49" ht="24.75" customHeight="1">
      <c r="A49" s="30"/>
      <c r="B49" s="31" t="s">
        <v>61</v>
      </c>
      <c r="C49" s="32" t="s">
        <v>155</v>
      </c>
      <c r="D49" s="34"/>
      <c r="E49" s="63" t="s">
        <v>167</v>
      </c>
      <c r="F49" s="64"/>
      <c r="G49" s="85"/>
      <c r="H49" s="86"/>
      <c r="I49" s="86" t="s">
        <v>168</v>
      </c>
      <c r="J49" s="67" t="s">
        <v>169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 ht="24.75" customHeight="1">
      <c r="A50" s="30"/>
      <c r="B50" s="31" t="s">
        <v>97</v>
      </c>
      <c r="C50" s="32" t="s">
        <v>155</v>
      </c>
      <c r="D50" s="34"/>
      <c r="E50" s="63" t="s">
        <v>170</v>
      </c>
      <c r="F50" s="64">
        <v>130.0</v>
      </c>
      <c r="G50" s="91" t="s">
        <v>171</v>
      </c>
      <c r="H50" s="92"/>
      <c r="I50" s="92" t="s">
        <v>172</v>
      </c>
      <c r="J50" s="67" t="s">
        <v>13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24.75" customHeight="1">
      <c r="A51" s="30"/>
      <c r="B51" s="31" t="s">
        <v>173</v>
      </c>
      <c r="C51" s="32" t="s">
        <v>155</v>
      </c>
      <c r="D51" s="33"/>
      <c r="E51" s="93" t="s">
        <v>174</v>
      </c>
      <c r="F51" s="64">
        <v>215.0</v>
      </c>
      <c r="G51" s="88"/>
      <c r="H51" s="76"/>
      <c r="I51" s="76" t="s">
        <v>175</v>
      </c>
      <c r="J51" s="67" t="s">
        <v>176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24.75" customHeight="1">
      <c r="A52" s="30"/>
      <c r="B52" s="31" t="s">
        <v>177</v>
      </c>
      <c r="C52" s="32" t="s">
        <v>155</v>
      </c>
      <c r="D52" s="34"/>
      <c r="E52" s="63" t="s">
        <v>178</v>
      </c>
      <c r="F52" s="64">
        <v>115.0</v>
      </c>
      <c r="G52" s="88" t="s">
        <v>179</v>
      </c>
      <c r="H52" s="76"/>
      <c r="I52" s="76" t="s">
        <v>180</v>
      </c>
      <c r="J52" s="67" t="s">
        <v>181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24.75" customHeight="1">
      <c r="A53" s="30"/>
      <c r="B53" s="31" t="s">
        <v>182</v>
      </c>
      <c r="C53" s="32" t="s">
        <v>155</v>
      </c>
      <c r="D53" s="34"/>
      <c r="E53" s="63" t="s">
        <v>183</v>
      </c>
      <c r="F53" s="64"/>
      <c r="G53" s="88"/>
      <c r="H53" s="76" t="s">
        <v>184</v>
      </c>
      <c r="I53" s="76" t="s">
        <v>185</v>
      </c>
      <c r="J53" s="7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24.75" customHeight="1">
      <c r="A54" s="30"/>
      <c r="B54" s="31" t="s">
        <v>71</v>
      </c>
      <c r="C54" s="32" t="s">
        <v>155</v>
      </c>
      <c r="D54" s="34"/>
      <c r="E54" s="63" t="s">
        <v>163</v>
      </c>
      <c r="F54" s="64"/>
      <c r="G54" s="88"/>
      <c r="H54" s="76"/>
      <c r="I54" s="76" t="s">
        <v>186</v>
      </c>
      <c r="J54" s="67" t="s">
        <v>187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24.75" customHeight="1">
      <c r="A55" s="46"/>
      <c r="B55" s="31" t="s">
        <v>188</v>
      </c>
      <c r="C55" s="32" t="s">
        <v>155</v>
      </c>
      <c r="D55" s="34"/>
      <c r="E55" s="63" t="s">
        <v>189</v>
      </c>
      <c r="F55" s="64"/>
      <c r="G55" s="88"/>
      <c r="H55" s="76"/>
      <c r="I55" s="76" t="s">
        <v>190</v>
      </c>
      <c r="J55" s="67" t="s">
        <v>191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24.75" customHeight="1">
      <c r="A56" s="30"/>
      <c r="B56" s="31" t="s">
        <v>192</v>
      </c>
      <c r="C56" s="32" t="s">
        <v>155</v>
      </c>
      <c r="D56" s="34"/>
      <c r="E56" s="63" t="s">
        <v>193</v>
      </c>
      <c r="F56" s="64"/>
      <c r="G56" s="88"/>
      <c r="H56" s="76"/>
      <c r="I56" s="76" t="s">
        <v>194</v>
      </c>
      <c r="J56" s="7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24.75" customHeight="1">
      <c r="A57" s="30"/>
      <c r="B57" s="31" t="s">
        <v>195</v>
      </c>
      <c r="C57" s="32" t="s">
        <v>155</v>
      </c>
      <c r="D57" s="34"/>
      <c r="E57" s="63"/>
      <c r="F57" s="64"/>
      <c r="G57" s="88"/>
      <c r="H57" s="76"/>
      <c r="I57" s="76" t="s">
        <v>196</v>
      </c>
      <c r="J57" s="7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24.75" customHeight="1">
      <c r="A58" s="30"/>
      <c r="B58" s="31" t="s">
        <v>197</v>
      </c>
      <c r="C58" s="32" t="s">
        <v>155</v>
      </c>
      <c r="D58" s="34"/>
      <c r="E58" s="63" t="s">
        <v>198</v>
      </c>
      <c r="F58" s="64"/>
      <c r="G58" s="88"/>
      <c r="H58" s="76"/>
      <c r="I58" s="76" t="s">
        <v>199</v>
      </c>
      <c r="J58" s="7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24.75" customHeight="1">
      <c r="A59" s="30"/>
      <c r="B59" s="31" t="s">
        <v>93</v>
      </c>
      <c r="C59" s="32" t="s">
        <v>155</v>
      </c>
      <c r="D59" s="34"/>
      <c r="E59" s="63" t="s">
        <v>94</v>
      </c>
      <c r="F59" s="64">
        <v>60.0</v>
      </c>
      <c r="G59" s="88" t="s">
        <v>200</v>
      </c>
      <c r="H59" s="76"/>
      <c r="I59" s="76" t="s">
        <v>201</v>
      </c>
      <c r="J59" s="9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24.75" customHeight="1">
      <c r="A60" s="30"/>
      <c r="B60" s="31" t="s">
        <v>81</v>
      </c>
      <c r="C60" s="32" t="s">
        <v>155</v>
      </c>
      <c r="D60" s="34"/>
      <c r="E60" s="63" t="s">
        <v>202</v>
      </c>
      <c r="F60" s="64">
        <v>160.0</v>
      </c>
      <c r="G60" s="88"/>
      <c r="H60" s="76"/>
      <c r="I60" s="76" t="s">
        <v>203</v>
      </c>
      <c r="J60" s="67" t="s">
        <v>204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24.75" customHeight="1">
      <c r="A61" s="30"/>
      <c r="B61" s="31" t="s">
        <v>205</v>
      </c>
      <c r="C61" s="32" t="s">
        <v>155</v>
      </c>
      <c r="D61" s="34"/>
      <c r="E61" s="63" t="s">
        <v>206</v>
      </c>
      <c r="F61" s="64">
        <v>200.0</v>
      </c>
      <c r="G61" s="88" t="s">
        <v>207</v>
      </c>
      <c r="H61" s="76"/>
      <c r="I61" s="76" t="s">
        <v>208</v>
      </c>
      <c r="J61" s="67" t="s">
        <v>209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24.75" customHeight="1">
      <c r="A62" s="30"/>
      <c r="B62" s="31" t="s">
        <v>210</v>
      </c>
      <c r="C62" s="32" t="s">
        <v>155</v>
      </c>
      <c r="D62" s="30"/>
      <c r="E62" s="63" t="s">
        <v>211</v>
      </c>
      <c r="F62" s="64">
        <v>65.0</v>
      </c>
      <c r="G62" s="95"/>
      <c r="H62" s="96" t="s">
        <v>130</v>
      </c>
      <c r="I62" s="76" t="s">
        <v>212</v>
      </c>
      <c r="J62" s="96" t="s">
        <v>213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24.75" customHeight="1">
      <c r="A63" s="30"/>
      <c r="B63" s="31" t="s">
        <v>214</v>
      </c>
      <c r="C63" s="32" t="s">
        <v>155</v>
      </c>
      <c r="D63" s="33"/>
      <c r="E63" s="63" t="s">
        <v>215</v>
      </c>
      <c r="F63" s="64">
        <v>55.0</v>
      </c>
      <c r="G63" s="88" t="s">
        <v>216</v>
      </c>
      <c r="H63" s="66"/>
      <c r="I63" s="76" t="s">
        <v>217</v>
      </c>
      <c r="J63" s="6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24.75" customHeight="1">
      <c r="A64" s="30"/>
      <c r="B64" s="31" t="s">
        <v>218</v>
      </c>
      <c r="C64" s="32" t="s">
        <v>155</v>
      </c>
      <c r="D64" s="33"/>
      <c r="E64" s="63" t="s">
        <v>219</v>
      </c>
      <c r="F64" s="64"/>
      <c r="G64" s="65"/>
      <c r="H64" s="66"/>
      <c r="I64" s="76" t="s">
        <v>220</v>
      </c>
      <c r="J64" s="6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24.75" customHeight="1">
      <c r="A65" s="30"/>
      <c r="B65" s="31" t="s">
        <v>221</v>
      </c>
      <c r="C65" s="32" t="s">
        <v>155</v>
      </c>
      <c r="D65" s="33"/>
      <c r="E65" s="63" t="s">
        <v>222</v>
      </c>
      <c r="F65" s="97">
        <v>80.0</v>
      </c>
      <c r="G65" s="65"/>
      <c r="H65" s="66"/>
      <c r="I65" s="76" t="s">
        <v>223</v>
      </c>
      <c r="J65" s="67" t="s">
        <v>224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24.75" customHeight="1">
      <c r="A66" s="30"/>
      <c r="B66" s="31" t="s">
        <v>225</v>
      </c>
      <c r="C66" s="32" t="s">
        <v>155</v>
      </c>
      <c r="D66" s="33"/>
      <c r="E66" s="63" t="s">
        <v>226</v>
      </c>
      <c r="F66" s="64">
        <v>205.0</v>
      </c>
      <c r="G66" s="65"/>
      <c r="H66" s="66"/>
      <c r="I66" s="76" t="s">
        <v>227</v>
      </c>
      <c r="J66" s="67" t="s">
        <v>228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24.75" customHeight="1">
      <c r="A67" s="30"/>
      <c r="B67" s="31" t="s">
        <v>229</v>
      </c>
      <c r="C67" s="32" t="s">
        <v>155</v>
      </c>
      <c r="D67" s="33"/>
      <c r="E67" s="63" t="s">
        <v>230</v>
      </c>
      <c r="F67" s="64">
        <v>150.0</v>
      </c>
      <c r="G67" s="88" t="s">
        <v>231</v>
      </c>
      <c r="H67" s="66"/>
      <c r="I67" s="76" t="s">
        <v>232</v>
      </c>
      <c r="J67" s="67" t="s">
        <v>233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24.75" customHeight="1">
      <c r="A68" s="30"/>
      <c r="B68" s="31" t="s">
        <v>234</v>
      </c>
      <c r="C68" s="32" t="s">
        <v>155</v>
      </c>
      <c r="D68" s="33"/>
      <c r="E68" s="74"/>
      <c r="F68" s="64"/>
      <c r="G68" s="65"/>
      <c r="H68" s="66"/>
      <c r="I68" s="76" t="s">
        <v>235</v>
      </c>
      <c r="J68" s="6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24.75" customHeight="1">
      <c r="A69" s="30"/>
      <c r="B69" s="31" t="s">
        <v>65</v>
      </c>
      <c r="C69" s="32" t="s">
        <v>155</v>
      </c>
      <c r="D69" s="33"/>
      <c r="E69" s="63" t="s">
        <v>163</v>
      </c>
      <c r="F69" s="64"/>
      <c r="G69" s="65"/>
      <c r="H69" s="66"/>
      <c r="I69" s="98" t="s">
        <v>186</v>
      </c>
      <c r="J69" s="67" t="s">
        <v>236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24.75" customHeight="1">
      <c r="A70" s="30"/>
      <c r="B70" s="31" t="s">
        <v>237</v>
      </c>
      <c r="C70" s="32" t="s">
        <v>155</v>
      </c>
      <c r="D70" s="33"/>
      <c r="E70" s="63" t="s">
        <v>238</v>
      </c>
      <c r="F70" s="64"/>
      <c r="G70" s="65"/>
      <c r="H70" s="66"/>
      <c r="I70" s="99" t="s">
        <v>239</v>
      </c>
      <c r="J70" s="67" t="s">
        <v>240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24.75" customHeight="1">
      <c r="A71" s="21" t="s">
        <v>241</v>
      </c>
      <c r="B71" s="22" t="s">
        <v>40</v>
      </c>
      <c r="C71" s="23" t="s">
        <v>242</v>
      </c>
      <c r="D71" s="24"/>
      <c r="E71" s="68" t="s">
        <v>243</v>
      </c>
      <c r="F71" s="64">
        <v>105.0</v>
      </c>
      <c r="G71" s="88" t="s">
        <v>200</v>
      </c>
      <c r="H71" s="100"/>
      <c r="I71" s="100" t="s">
        <v>244</v>
      </c>
      <c r="J71" s="73" t="s">
        <v>245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24.75" customHeight="1">
      <c r="A72" s="30"/>
      <c r="B72" s="31" t="s">
        <v>229</v>
      </c>
      <c r="C72" s="32" t="s">
        <v>242</v>
      </c>
      <c r="D72" s="33"/>
      <c r="E72" s="63" t="s">
        <v>246</v>
      </c>
      <c r="F72" s="64">
        <v>95.0</v>
      </c>
      <c r="G72" s="88"/>
      <c r="H72" s="76"/>
      <c r="I72" s="76"/>
      <c r="J72" s="67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</row>
    <row r="73" ht="24.75" customHeight="1">
      <c r="A73" s="30"/>
      <c r="B73" s="31" t="s">
        <v>247</v>
      </c>
      <c r="C73" s="32" t="s">
        <v>242</v>
      </c>
      <c r="D73" s="33"/>
      <c r="E73" s="63" t="s">
        <v>248</v>
      </c>
      <c r="F73" s="64">
        <v>95.0</v>
      </c>
      <c r="G73" s="88"/>
      <c r="H73" s="76"/>
      <c r="I73" s="76"/>
      <c r="J73" s="67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 ht="24.75" customHeight="1">
      <c r="A74" s="30"/>
      <c r="B74" s="40" t="s">
        <v>56</v>
      </c>
      <c r="C74" s="41" t="s">
        <v>242</v>
      </c>
      <c r="D74" s="33"/>
      <c r="E74" s="74" t="s">
        <v>249</v>
      </c>
      <c r="F74" s="64"/>
      <c r="G74" s="88" t="s">
        <v>200</v>
      </c>
      <c r="H74" s="76"/>
      <c r="I74" s="76" t="s">
        <v>250</v>
      </c>
      <c r="J74" s="67" t="s">
        <v>251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 ht="24.75" customHeight="1">
      <c r="A75" s="30"/>
      <c r="B75" s="31" t="s">
        <v>61</v>
      </c>
      <c r="C75" s="32" t="s">
        <v>242</v>
      </c>
      <c r="D75" s="33"/>
      <c r="E75" s="63" t="s">
        <v>252</v>
      </c>
      <c r="F75" s="64">
        <v>90.0</v>
      </c>
      <c r="G75" s="88" t="s">
        <v>200</v>
      </c>
      <c r="H75" s="66"/>
      <c r="I75" s="76" t="s">
        <v>253</v>
      </c>
      <c r="J75" s="67" t="s">
        <v>254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24.75" customHeight="1">
      <c r="A76" s="30"/>
      <c r="B76" s="31" t="s">
        <v>237</v>
      </c>
      <c r="C76" s="32" t="s">
        <v>242</v>
      </c>
      <c r="D76" s="33"/>
      <c r="E76" s="63" t="s">
        <v>255</v>
      </c>
      <c r="F76" s="64">
        <v>70.0</v>
      </c>
      <c r="G76" s="88" t="s">
        <v>200</v>
      </c>
      <c r="H76" s="66"/>
      <c r="I76" s="76" t="s">
        <v>256</v>
      </c>
      <c r="J76" s="78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27.0" customHeight="1">
      <c r="A77" s="101"/>
      <c r="B77" s="31" t="s">
        <v>237</v>
      </c>
      <c r="C77" s="32" t="s">
        <v>242</v>
      </c>
      <c r="D77" s="101"/>
      <c r="E77" s="63" t="s">
        <v>257</v>
      </c>
      <c r="F77" s="64">
        <v>60.0</v>
      </c>
      <c r="G77" s="88" t="s">
        <v>200</v>
      </c>
      <c r="H77" s="102"/>
      <c r="I77" s="103" t="s">
        <v>256</v>
      </c>
      <c r="J77" s="102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 ht="27.0" customHeight="1">
      <c r="A78" s="101"/>
      <c r="B78" s="31" t="s">
        <v>81</v>
      </c>
      <c r="C78" s="32" t="s">
        <v>242</v>
      </c>
      <c r="D78" s="101"/>
      <c r="E78" s="63" t="s">
        <v>258</v>
      </c>
      <c r="F78" s="64">
        <v>90.0</v>
      </c>
      <c r="G78" s="105" t="s">
        <v>259</v>
      </c>
      <c r="H78" s="102"/>
      <c r="I78" s="76" t="s">
        <v>260</v>
      </c>
      <c r="J78" s="103" t="s">
        <v>261</v>
      </c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 ht="27.0" customHeight="1">
      <c r="A79" s="101"/>
      <c r="B79" s="31" t="s">
        <v>262</v>
      </c>
      <c r="C79" s="32" t="s">
        <v>263</v>
      </c>
      <c r="D79" s="101"/>
      <c r="E79" s="63" t="s">
        <v>264</v>
      </c>
      <c r="F79" s="64"/>
      <c r="G79" s="106"/>
      <c r="H79" s="102"/>
      <c r="I79" s="102"/>
      <c r="J79" s="102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 ht="27.0" customHeight="1">
      <c r="A80" s="107"/>
      <c r="B80" s="108" t="s">
        <v>19</v>
      </c>
      <c r="C80" s="109" t="s">
        <v>242</v>
      </c>
      <c r="D80" s="107"/>
      <c r="E80" s="63" t="s">
        <v>265</v>
      </c>
      <c r="F80" s="64"/>
      <c r="G80" s="110"/>
      <c r="H80" s="111"/>
      <c r="I80" s="112" t="s">
        <v>266</v>
      </c>
      <c r="J80" s="111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</row>
    <row r="81" ht="27.0" customHeight="1">
      <c r="A81" s="101"/>
      <c r="B81" s="108" t="s">
        <v>267</v>
      </c>
      <c r="C81" s="109" t="s">
        <v>242</v>
      </c>
      <c r="D81" s="101"/>
      <c r="E81" s="63" t="s">
        <v>268</v>
      </c>
      <c r="F81" s="64">
        <v>90.0</v>
      </c>
      <c r="G81" s="106"/>
      <c r="H81" s="102"/>
      <c r="I81" s="103" t="s">
        <v>269</v>
      </c>
      <c r="J81" s="103" t="s">
        <v>270</v>
      </c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 ht="24.75" customHeight="1">
      <c r="A82" s="30"/>
      <c r="B82" s="31" t="s">
        <v>271</v>
      </c>
      <c r="C82" s="32" t="s">
        <v>242</v>
      </c>
      <c r="D82" s="33"/>
      <c r="E82" s="63" t="s">
        <v>272</v>
      </c>
      <c r="F82" s="64"/>
      <c r="G82" s="88"/>
      <c r="H82" s="76"/>
      <c r="I82" s="76"/>
      <c r="J82" s="7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24.75" customHeight="1">
      <c r="A83" s="30"/>
      <c r="B83" s="31" t="s">
        <v>273</v>
      </c>
      <c r="C83" s="32" t="s">
        <v>242</v>
      </c>
      <c r="D83" s="33"/>
      <c r="E83" s="63" t="s">
        <v>222</v>
      </c>
      <c r="F83" s="64">
        <v>60.0</v>
      </c>
      <c r="G83" s="88"/>
      <c r="H83" s="66"/>
      <c r="I83" s="76" t="s">
        <v>274</v>
      </c>
      <c r="J83" s="73" t="s">
        <v>275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24.75" customHeight="1">
      <c r="A84" s="30"/>
      <c r="B84" s="31" t="s">
        <v>276</v>
      </c>
      <c r="C84" s="32" t="s">
        <v>242</v>
      </c>
      <c r="D84" s="33"/>
      <c r="E84" s="63" t="s">
        <v>277</v>
      </c>
      <c r="F84" s="64">
        <v>80.0</v>
      </c>
      <c r="G84" s="88"/>
      <c r="H84" s="66"/>
      <c r="I84" s="76" t="s">
        <v>278</v>
      </c>
      <c r="J84" s="73" t="s">
        <v>279</v>
      </c>
      <c r="K84" s="4"/>
      <c r="L84" s="11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24.75" customHeight="1">
      <c r="A85" s="30"/>
      <c r="B85" s="31" t="s">
        <v>280</v>
      </c>
      <c r="C85" s="32" t="s">
        <v>242</v>
      </c>
      <c r="D85" s="33"/>
      <c r="E85" s="63" t="s">
        <v>281</v>
      </c>
      <c r="F85" s="64">
        <v>80.0</v>
      </c>
      <c r="G85" s="88"/>
      <c r="H85" s="66"/>
      <c r="I85" s="76" t="s">
        <v>282</v>
      </c>
      <c r="J85" s="7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24.75" customHeight="1">
      <c r="A86" s="30"/>
      <c r="B86" s="31" t="s">
        <v>283</v>
      </c>
      <c r="C86" s="32" t="s">
        <v>242</v>
      </c>
      <c r="D86" s="33"/>
      <c r="E86" s="63" t="s">
        <v>284</v>
      </c>
      <c r="F86" s="64">
        <v>80.0</v>
      </c>
      <c r="G86" s="88"/>
      <c r="H86" s="66"/>
      <c r="I86" s="76">
        <v>7.022615253E9</v>
      </c>
      <c r="J86" s="7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24.75" customHeight="1">
      <c r="A87" s="30"/>
      <c r="B87" s="31" t="s">
        <v>285</v>
      </c>
      <c r="C87" s="32" t="s">
        <v>242</v>
      </c>
      <c r="D87" s="33"/>
      <c r="E87" s="63" t="s">
        <v>286</v>
      </c>
      <c r="F87" s="64">
        <v>80.0</v>
      </c>
      <c r="G87" s="88" t="s">
        <v>200</v>
      </c>
      <c r="H87" s="66"/>
      <c r="I87" s="76">
        <v>9.566820825E9</v>
      </c>
      <c r="J87" s="73" t="s">
        <v>287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24.75" customHeight="1">
      <c r="A88" s="30"/>
      <c r="B88" s="31" t="s">
        <v>288</v>
      </c>
      <c r="C88" s="32" t="s">
        <v>242</v>
      </c>
      <c r="D88" s="33"/>
      <c r="E88" s="63" t="s">
        <v>289</v>
      </c>
      <c r="F88" s="64">
        <v>80.0</v>
      </c>
      <c r="G88" s="88" t="s">
        <v>200</v>
      </c>
      <c r="H88" s="66"/>
      <c r="I88" s="76" t="s">
        <v>290</v>
      </c>
      <c r="J88" s="73" t="s">
        <v>291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24.75" customHeight="1">
      <c r="A89" s="30"/>
      <c r="B89" s="31" t="s">
        <v>292</v>
      </c>
      <c r="C89" s="32" t="s">
        <v>242</v>
      </c>
      <c r="D89" s="33"/>
      <c r="E89" s="63" t="s">
        <v>293</v>
      </c>
      <c r="F89" s="64">
        <v>50.0</v>
      </c>
      <c r="G89" s="88"/>
      <c r="H89" s="66"/>
      <c r="I89" s="76"/>
      <c r="J89" s="7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24.75" customHeight="1">
      <c r="A90" s="30"/>
      <c r="B90" s="31" t="s">
        <v>294</v>
      </c>
      <c r="C90" s="32" t="s">
        <v>242</v>
      </c>
      <c r="D90" s="33"/>
      <c r="E90" s="63" t="s">
        <v>295</v>
      </c>
      <c r="F90" s="64">
        <v>80.0</v>
      </c>
      <c r="G90" s="88"/>
      <c r="H90" s="66"/>
      <c r="I90" s="76"/>
      <c r="J90" s="115" t="s">
        <v>296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24.75" customHeight="1">
      <c r="A91" s="30"/>
      <c r="B91" s="31" t="s">
        <v>297</v>
      </c>
      <c r="C91" s="32" t="s">
        <v>242</v>
      </c>
      <c r="D91" s="33"/>
      <c r="E91" s="63" t="s">
        <v>298</v>
      </c>
      <c r="F91" s="64">
        <v>95.0</v>
      </c>
      <c r="G91" s="88"/>
      <c r="H91" s="66"/>
      <c r="I91" s="76" t="s">
        <v>299</v>
      </c>
      <c r="J91" s="11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24.75" customHeight="1">
      <c r="A92" s="30"/>
      <c r="B92" s="31" t="s">
        <v>8</v>
      </c>
      <c r="C92" s="32" t="s">
        <v>242</v>
      </c>
      <c r="D92" s="33"/>
      <c r="E92" s="63" t="s">
        <v>300</v>
      </c>
      <c r="F92" s="64">
        <v>95.0</v>
      </c>
      <c r="G92" s="88" t="s">
        <v>301</v>
      </c>
      <c r="H92" s="66"/>
      <c r="I92" s="76"/>
      <c r="J92" s="11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24.75" customHeight="1">
      <c r="A93" s="21" t="s">
        <v>302</v>
      </c>
      <c r="B93" s="22" t="s">
        <v>40</v>
      </c>
      <c r="C93" s="23" t="s">
        <v>303</v>
      </c>
      <c r="D93" s="24"/>
      <c r="E93" s="68" t="s">
        <v>304</v>
      </c>
      <c r="F93" s="69"/>
      <c r="G93" s="83"/>
      <c r="H93" s="72"/>
      <c r="I93" s="72" t="s">
        <v>305</v>
      </c>
      <c r="J93" s="73" t="s">
        <v>306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24.75" customHeight="1">
      <c r="A94" s="30"/>
      <c r="B94" s="40" t="s">
        <v>56</v>
      </c>
      <c r="C94" s="41" t="s">
        <v>303</v>
      </c>
      <c r="D94" s="33"/>
      <c r="E94" s="74" t="s">
        <v>307</v>
      </c>
      <c r="F94" s="64"/>
      <c r="G94" s="65"/>
      <c r="H94" s="66"/>
      <c r="I94" s="76" t="s">
        <v>308</v>
      </c>
      <c r="J94" s="67" t="s">
        <v>309</v>
      </c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 ht="24.75" customHeight="1">
      <c r="A95" s="30"/>
      <c r="B95" s="31" t="s">
        <v>97</v>
      </c>
      <c r="C95" s="32" t="s">
        <v>303</v>
      </c>
      <c r="D95" s="34"/>
      <c r="E95" s="63" t="s">
        <v>310</v>
      </c>
      <c r="F95" s="64"/>
      <c r="G95" s="88"/>
      <c r="H95" s="76"/>
      <c r="I95" s="76" t="s">
        <v>311</v>
      </c>
      <c r="J95" s="67" t="s">
        <v>312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</row>
    <row r="96" ht="24.75" customHeight="1">
      <c r="A96" s="30"/>
      <c r="B96" s="31" t="s">
        <v>61</v>
      </c>
      <c r="C96" s="32" t="s">
        <v>303</v>
      </c>
      <c r="D96" s="34"/>
      <c r="E96" s="63" t="s">
        <v>313</v>
      </c>
      <c r="F96" s="64"/>
      <c r="G96" s="85"/>
      <c r="H96" s="86"/>
      <c r="I96" s="86" t="s">
        <v>314</v>
      </c>
      <c r="J96" s="67" t="s">
        <v>315</v>
      </c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</row>
    <row r="97" ht="24.75" customHeight="1">
      <c r="A97" s="117"/>
      <c r="B97" s="31" t="s">
        <v>65</v>
      </c>
      <c r="C97" s="32" t="s">
        <v>303</v>
      </c>
      <c r="D97" s="34"/>
      <c r="E97" s="63" t="s">
        <v>316</v>
      </c>
      <c r="F97" s="64">
        <v>90.0</v>
      </c>
      <c r="G97" s="85" t="s">
        <v>317</v>
      </c>
      <c r="H97" s="86"/>
      <c r="I97" s="86" t="s">
        <v>318</v>
      </c>
      <c r="J97" s="67" t="s">
        <v>319</v>
      </c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</row>
    <row r="98" ht="24.75" customHeight="1">
      <c r="A98" s="119"/>
      <c r="B98" s="120"/>
      <c r="C98" s="121"/>
      <c r="D98" s="122"/>
      <c r="E98" s="122"/>
      <c r="F98" s="42"/>
      <c r="G98" s="123"/>
      <c r="H98" s="124"/>
      <c r="I98" s="12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idden="1">
      <c r="A99" s="104"/>
      <c r="B99" s="125"/>
      <c r="C99" s="126"/>
      <c r="D99" s="104"/>
      <c r="E99" s="104"/>
      <c r="F99" s="42"/>
      <c r="G99" s="127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 hidden="1">
      <c r="A100" s="104"/>
      <c r="B100" s="125"/>
      <c r="C100" s="126"/>
      <c r="D100" s="104"/>
      <c r="E100" s="104"/>
      <c r="F100" s="42"/>
      <c r="G100" s="127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 ht="24.75" customHeight="1">
      <c r="A101" s="119"/>
      <c r="B101" s="120"/>
      <c r="C101" s="121"/>
      <c r="D101" s="122"/>
      <c r="E101" s="122"/>
      <c r="F101" s="42"/>
      <c r="G101" s="123"/>
      <c r="H101" s="124"/>
      <c r="I101" s="12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45.0" customHeight="1">
      <c r="A102" s="21" t="s">
        <v>320</v>
      </c>
      <c r="B102" s="22" t="s">
        <v>40</v>
      </c>
      <c r="C102" s="23" t="s">
        <v>321</v>
      </c>
      <c r="D102" s="24"/>
      <c r="E102" s="24" t="s">
        <v>322</v>
      </c>
      <c r="F102" s="128">
        <v>230.0</v>
      </c>
      <c r="G102" s="26" t="s">
        <v>323</v>
      </c>
      <c r="H102" s="28"/>
      <c r="I102" s="28" t="s">
        <v>324</v>
      </c>
      <c r="J102" s="29" t="s">
        <v>325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24.75" customHeight="1">
      <c r="A103" s="46"/>
      <c r="B103" s="40" t="s">
        <v>52</v>
      </c>
      <c r="C103" s="41" t="s">
        <v>321</v>
      </c>
      <c r="D103" s="33"/>
      <c r="E103" s="33" t="s">
        <v>150</v>
      </c>
      <c r="F103" s="35">
        <v>65.0</v>
      </c>
      <c r="G103" s="44"/>
      <c r="H103" s="37"/>
      <c r="I103" s="37" t="s">
        <v>326</v>
      </c>
      <c r="J103" s="38" t="s">
        <v>327</v>
      </c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 ht="24.75" customHeight="1">
      <c r="A104" s="30"/>
      <c r="B104" s="40" t="s">
        <v>56</v>
      </c>
      <c r="C104" s="41" t="s">
        <v>321</v>
      </c>
      <c r="D104" s="33"/>
      <c r="E104" s="34" t="s">
        <v>328</v>
      </c>
      <c r="F104" s="129">
        <v>220.0</v>
      </c>
      <c r="G104" s="44" t="s">
        <v>43</v>
      </c>
      <c r="H104" s="37" t="s">
        <v>59</v>
      </c>
      <c r="I104" s="37" t="s">
        <v>329</v>
      </c>
      <c r="J104" s="38" t="s">
        <v>330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</row>
    <row r="105" ht="24.75" customHeight="1">
      <c r="A105" s="30"/>
      <c r="B105" s="40" t="s">
        <v>78</v>
      </c>
      <c r="C105" s="41" t="s">
        <v>321</v>
      </c>
      <c r="D105" s="34"/>
      <c r="E105" s="34" t="s">
        <v>153</v>
      </c>
      <c r="F105" s="35">
        <v>75.0</v>
      </c>
      <c r="G105" s="130"/>
      <c r="H105" s="131"/>
      <c r="I105" s="131" t="s">
        <v>331</v>
      </c>
      <c r="J105" s="38" t="s">
        <v>332</v>
      </c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</row>
    <row r="106" ht="24.75" customHeight="1">
      <c r="A106" s="52"/>
      <c r="B106" s="31" t="s">
        <v>333</v>
      </c>
      <c r="C106" s="41" t="s">
        <v>321</v>
      </c>
      <c r="D106" s="34"/>
      <c r="E106" s="34" t="s">
        <v>334</v>
      </c>
      <c r="F106" s="35">
        <v>100.0</v>
      </c>
      <c r="G106" s="132" t="s">
        <v>335</v>
      </c>
      <c r="H106" s="133"/>
      <c r="I106" s="133" t="s">
        <v>336</v>
      </c>
      <c r="J106" s="38" t="s">
        <v>337</v>
      </c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</row>
    <row r="107" ht="24.75" customHeight="1">
      <c r="A107" s="30"/>
      <c r="B107" s="31" t="s">
        <v>61</v>
      </c>
      <c r="C107" s="32" t="s">
        <v>321</v>
      </c>
      <c r="D107" s="34"/>
      <c r="E107" s="34" t="s">
        <v>313</v>
      </c>
      <c r="F107" s="42"/>
      <c r="G107" s="48"/>
      <c r="H107" s="50"/>
      <c r="I107" s="50" t="s">
        <v>314</v>
      </c>
      <c r="J107" s="38" t="s">
        <v>338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</row>
    <row r="108" ht="24.75" customHeight="1">
      <c r="A108" s="30"/>
      <c r="B108" s="31" t="s">
        <v>26</v>
      </c>
      <c r="C108" s="32" t="s">
        <v>321</v>
      </c>
      <c r="D108" s="34"/>
      <c r="E108" s="34" t="s">
        <v>76</v>
      </c>
      <c r="F108" s="42"/>
      <c r="G108" s="44"/>
      <c r="H108" s="37"/>
      <c r="I108" s="37" t="s">
        <v>339</v>
      </c>
      <c r="J108" s="38" t="s">
        <v>340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65.25" customHeight="1">
      <c r="A109" s="30"/>
      <c r="B109" s="31" t="s">
        <v>205</v>
      </c>
      <c r="C109" s="32" t="s">
        <v>321</v>
      </c>
      <c r="D109" s="34"/>
      <c r="E109" s="34" t="s">
        <v>341</v>
      </c>
      <c r="F109" s="35">
        <v>120.0</v>
      </c>
      <c r="G109" s="44" t="s">
        <v>342</v>
      </c>
      <c r="H109" s="37"/>
      <c r="I109" s="37" t="s">
        <v>343</v>
      </c>
      <c r="J109" s="38" t="s">
        <v>344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24.75" customHeight="1">
      <c r="A110" s="30"/>
      <c r="B110" s="31" t="s">
        <v>345</v>
      </c>
      <c r="C110" s="32" t="s">
        <v>321</v>
      </c>
      <c r="D110" s="34"/>
      <c r="E110" s="34" t="s">
        <v>226</v>
      </c>
      <c r="F110" s="35">
        <v>205.0</v>
      </c>
      <c r="G110" s="44" t="s">
        <v>346</v>
      </c>
      <c r="H110" s="43"/>
      <c r="I110" s="37" t="s">
        <v>347</v>
      </c>
      <c r="J110" s="38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24.75" customHeight="1">
      <c r="A111" s="30"/>
      <c r="B111" s="31" t="s">
        <v>124</v>
      </c>
      <c r="C111" s="32" t="s">
        <v>321</v>
      </c>
      <c r="D111" s="34"/>
      <c r="E111" s="34" t="s">
        <v>348</v>
      </c>
      <c r="F111" s="42"/>
      <c r="G111" s="36"/>
      <c r="H111" s="43"/>
      <c r="I111" s="37" t="s">
        <v>349</v>
      </c>
      <c r="J111" s="38" t="s">
        <v>350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24.75" customHeight="1">
      <c r="A112" s="46"/>
      <c r="B112" s="31" t="s">
        <v>81</v>
      </c>
      <c r="C112" s="32" t="s">
        <v>321</v>
      </c>
      <c r="D112" s="33"/>
      <c r="E112" s="34" t="s">
        <v>351</v>
      </c>
      <c r="F112" s="35">
        <v>185.0</v>
      </c>
      <c r="G112" s="44"/>
      <c r="H112" s="37"/>
      <c r="I112" s="37" t="s">
        <v>352</v>
      </c>
      <c r="J112" s="38" t="s">
        <v>353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24.75" customHeight="1">
      <c r="A113" s="46"/>
      <c r="B113" s="31" t="s">
        <v>56</v>
      </c>
      <c r="C113" s="32" t="s">
        <v>321</v>
      </c>
      <c r="D113" s="33"/>
      <c r="E113" s="34" t="s">
        <v>354</v>
      </c>
      <c r="F113" s="135">
        <v>333.25</v>
      </c>
      <c r="G113" s="36"/>
      <c r="H113" s="37" t="s">
        <v>43</v>
      </c>
      <c r="I113" s="37" t="s">
        <v>329</v>
      </c>
      <c r="J113" s="38" t="s">
        <v>355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24.75" customHeight="1">
      <c r="A114" s="46"/>
      <c r="B114" s="31" t="s">
        <v>273</v>
      </c>
      <c r="C114" s="32" t="s">
        <v>321</v>
      </c>
      <c r="D114" s="33"/>
      <c r="E114" s="34" t="s">
        <v>356</v>
      </c>
      <c r="F114" s="135">
        <v>80.0</v>
      </c>
      <c r="G114" s="36"/>
      <c r="H114" s="43"/>
      <c r="I114" s="43"/>
      <c r="J114" s="38" t="s">
        <v>357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24.75" customHeight="1">
      <c r="A115" s="46"/>
      <c r="B115" s="31" t="s">
        <v>358</v>
      </c>
      <c r="C115" s="32" t="s">
        <v>321</v>
      </c>
      <c r="D115" s="33"/>
      <c r="E115" s="34" t="s">
        <v>359</v>
      </c>
      <c r="F115" s="135">
        <v>150.0</v>
      </c>
      <c r="G115" s="36"/>
      <c r="H115" s="37" t="s">
        <v>360</v>
      </c>
      <c r="I115" s="43"/>
      <c r="J115" s="3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24.75" customHeight="1">
      <c r="A116" s="21" t="s">
        <v>361</v>
      </c>
      <c r="B116" s="22" t="s">
        <v>40</v>
      </c>
      <c r="C116" s="23" t="s">
        <v>362</v>
      </c>
      <c r="D116" s="24"/>
      <c r="E116" s="24" t="s">
        <v>363</v>
      </c>
      <c r="F116" s="128">
        <v>200.0</v>
      </c>
      <c r="G116" s="136"/>
      <c r="H116" s="137"/>
      <c r="I116" s="28" t="s">
        <v>364</v>
      </c>
      <c r="J116" s="29" t="s">
        <v>365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24.75" customHeight="1">
      <c r="A117" s="30"/>
      <c r="B117" s="40" t="s">
        <v>366</v>
      </c>
      <c r="C117" s="41" t="s">
        <v>362</v>
      </c>
      <c r="D117" s="33"/>
      <c r="E117" s="33" t="s">
        <v>49</v>
      </c>
      <c r="F117" s="42"/>
      <c r="G117" s="138"/>
      <c r="H117" s="52"/>
      <c r="I117" s="52" t="s">
        <v>367</v>
      </c>
      <c r="J117" s="38" t="s">
        <v>368</v>
      </c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</row>
    <row r="118" ht="24.75" customHeight="1">
      <c r="A118" s="30"/>
      <c r="B118" s="22" t="s">
        <v>40</v>
      </c>
      <c r="C118" s="32" t="s">
        <v>362</v>
      </c>
      <c r="D118" s="33"/>
      <c r="E118" s="140" t="s">
        <v>369</v>
      </c>
      <c r="F118" s="35">
        <v>140.0</v>
      </c>
      <c r="G118" s="138"/>
      <c r="H118" s="52"/>
      <c r="I118" s="52"/>
      <c r="J118" s="141" t="s">
        <v>369</v>
      </c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</row>
    <row r="119" ht="24.75" customHeight="1">
      <c r="A119" s="30"/>
      <c r="B119" s="31" t="s">
        <v>370</v>
      </c>
      <c r="C119" s="32" t="s">
        <v>362</v>
      </c>
      <c r="D119" s="33"/>
      <c r="E119" s="34" t="s">
        <v>371</v>
      </c>
      <c r="F119" s="35">
        <v>50.0</v>
      </c>
      <c r="G119" s="44" t="s">
        <v>372</v>
      </c>
      <c r="H119" s="43"/>
      <c r="I119" s="37" t="s">
        <v>373</v>
      </c>
      <c r="J119" s="38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24.75" customHeight="1">
      <c r="A120" s="46"/>
      <c r="B120" s="31" t="s">
        <v>267</v>
      </c>
      <c r="C120" s="32" t="s">
        <v>362</v>
      </c>
      <c r="D120" s="33"/>
      <c r="E120" s="34" t="s">
        <v>374</v>
      </c>
      <c r="F120" s="42"/>
      <c r="G120" s="36"/>
      <c r="H120" s="43"/>
      <c r="I120" s="43"/>
      <c r="J120" s="3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24.75" customHeight="1">
      <c r="A121" s="46"/>
      <c r="B121" s="31" t="s">
        <v>56</v>
      </c>
      <c r="C121" s="32" t="s">
        <v>362</v>
      </c>
      <c r="D121" s="33"/>
      <c r="E121" s="34" t="s">
        <v>375</v>
      </c>
      <c r="F121" s="35">
        <v>160.0</v>
      </c>
      <c r="G121" s="44" t="s">
        <v>376</v>
      </c>
      <c r="H121" s="142" t="s">
        <v>377</v>
      </c>
      <c r="I121" s="43"/>
      <c r="J121" s="38" t="s">
        <v>378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24.75" customHeight="1">
      <c r="A122" s="46"/>
      <c r="B122" s="31" t="s">
        <v>379</v>
      </c>
      <c r="C122" s="32" t="s">
        <v>362</v>
      </c>
      <c r="D122" s="33"/>
      <c r="E122" s="33"/>
      <c r="F122" s="42"/>
      <c r="G122" s="36"/>
      <c r="H122" s="43"/>
      <c r="I122" s="37" t="s">
        <v>380</v>
      </c>
      <c r="J122" s="38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24.75" customHeight="1">
      <c r="A123" s="46"/>
      <c r="B123" s="31" t="s">
        <v>283</v>
      </c>
      <c r="C123" s="32" t="s">
        <v>362</v>
      </c>
      <c r="D123" s="33"/>
      <c r="E123" s="34" t="s">
        <v>381</v>
      </c>
      <c r="F123" s="42"/>
      <c r="G123" s="36"/>
      <c r="H123" s="43"/>
      <c r="I123" s="43" t="str">
        <f>1 702 261 5016 </f>
        <v>#ERROR!</v>
      </c>
      <c r="J123" s="38" t="s">
        <v>382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24.75" customHeight="1">
      <c r="A124" s="46"/>
      <c r="B124" s="31" t="s">
        <v>78</v>
      </c>
      <c r="C124" s="32" t="s">
        <v>362</v>
      </c>
      <c r="D124" s="33"/>
      <c r="E124" s="34" t="s">
        <v>383</v>
      </c>
      <c r="F124" s="42">
        <v>175.0</v>
      </c>
      <c r="G124" s="44" t="s">
        <v>376</v>
      </c>
      <c r="H124" s="37">
        <v>3.05874245E9</v>
      </c>
      <c r="I124" s="37" t="s">
        <v>384</v>
      </c>
      <c r="J124" s="143" t="s">
        <v>385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24.75" customHeight="1">
      <c r="A125" s="46"/>
      <c r="B125" s="31" t="s">
        <v>386</v>
      </c>
      <c r="C125" s="32" t="s">
        <v>362</v>
      </c>
      <c r="D125" s="33"/>
      <c r="E125" s="34" t="s">
        <v>387</v>
      </c>
      <c r="F125" s="35">
        <v>100.0</v>
      </c>
      <c r="G125" s="44"/>
      <c r="H125" s="37" t="s">
        <v>388</v>
      </c>
      <c r="I125" s="37"/>
      <c r="J125" s="38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24.75" customHeight="1">
      <c r="A126" s="21" t="s">
        <v>389</v>
      </c>
      <c r="B126" s="22" t="s">
        <v>40</v>
      </c>
      <c r="C126" s="23" t="s">
        <v>390</v>
      </c>
      <c r="D126" s="24"/>
      <c r="E126" s="24" t="s">
        <v>391</v>
      </c>
      <c r="F126" s="144"/>
      <c r="G126" s="136"/>
      <c r="H126" s="137"/>
      <c r="I126" s="137" t="s">
        <v>392</v>
      </c>
      <c r="J126" s="29" t="s">
        <v>393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24.75" customHeight="1">
      <c r="A127" s="30"/>
      <c r="B127" s="31" t="s">
        <v>394</v>
      </c>
      <c r="C127" s="32" t="s">
        <v>390</v>
      </c>
      <c r="D127" s="34"/>
      <c r="E127" s="34" t="s">
        <v>395</v>
      </c>
      <c r="F127" s="42"/>
      <c r="G127" s="48"/>
      <c r="H127" s="50"/>
      <c r="I127" s="50" t="s">
        <v>396</v>
      </c>
      <c r="J127" s="38" t="s">
        <v>397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</row>
    <row r="128" ht="24.75" customHeight="1">
      <c r="A128" s="30"/>
      <c r="B128" s="40"/>
      <c r="C128" s="41"/>
      <c r="D128" s="33"/>
      <c r="E128" s="33"/>
      <c r="F128" s="42"/>
      <c r="G128" s="36"/>
      <c r="H128" s="43"/>
      <c r="I128" s="43"/>
      <c r="J128" s="38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24.75" customHeight="1">
      <c r="A129" s="30"/>
      <c r="B129" s="40"/>
      <c r="C129" s="41"/>
      <c r="D129" s="33"/>
      <c r="E129" s="33"/>
      <c r="F129" s="42"/>
      <c r="G129" s="36"/>
      <c r="H129" s="43"/>
      <c r="I129" s="43"/>
      <c r="J129" s="52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24.75" customHeight="1">
      <c r="A130" s="21" t="s">
        <v>398</v>
      </c>
      <c r="B130" s="22" t="s">
        <v>40</v>
      </c>
      <c r="C130" s="23" t="s">
        <v>399</v>
      </c>
      <c r="D130" s="24"/>
      <c r="E130" s="24" t="s">
        <v>400</v>
      </c>
      <c r="F130" s="144"/>
      <c r="G130" s="26"/>
      <c r="H130" s="28"/>
      <c r="I130" s="28" t="s">
        <v>401</v>
      </c>
      <c r="J130" s="29" t="s">
        <v>402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24.75" customHeight="1">
      <c r="A131" s="30"/>
      <c r="B131" s="31" t="s">
        <v>65</v>
      </c>
      <c r="C131" s="32" t="s">
        <v>399</v>
      </c>
      <c r="D131" s="34"/>
      <c r="E131" s="34" t="s">
        <v>403</v>
      </c>
      <c r="F131" s="35">
        <v>110.0</v>
      </c>
      <c r="G131" s="145"/>
      <c r="H131" s="146"/>
      <c r="I131" s="146" t="s">
        <v>404</v>
      </c>
      <c r="J131" s="147" t="s">
        <v>405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</row>
    <row r="132" ht="24.75" customHeight="1">
      <c r="A132" s="30"/>
      <c r="B132" s="31" t="s">
        <v>406</v>
      </c>
      <c r="C132" s="41"/>
      <c r="D132" s="33"/>
      <c r="E132" s="33"/>
      <c r="F132" s="42"/>
      <c r="G132" s="36"/>
      <c r="H132" s="43"/>
      <c r="I132" s="43"/>
      <c r="J132" s="38" t="s">
        <v>407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24.75" customHeight="1">
      <c r="A133" s="30"/>
      <c r="B133" s="31" t="s">
        <v>40</v>
      </c>
      <c r="C133" s="32" t="s">
        <v>399</v>
      </c>
      <c r="D133" s="33"/>
      <c r="E133" s="34" t="s">
        <v>408</v>
      </c>
      <c r="F133" s="42"/>
      <c r="G133" s="36"/>
      <c r="H133" s="43"/>
      <c r="I133" s="43"/>
      <c r="J133" s="38" t="s">
        <v>409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24.75" customHeight="1">
      <c r="A134" s="21" t="s">
        <v>410</v>
      </c>
      <c r="B134" s="22" t="s">
        <v>40</v>
      </c>
      <c r="C134" s="23" t="s">
        <v>411</v>
      </c>
      <c r="D134" s="24"/>
      <c r="E134" s="24" t="s">
        <v>412</v>
      </c>
      <c r="F134" s="144">
        <v>100.0</v>
      </c>
      <c r="G134" s="148"/>
      <c r="H134" s="149"/>
      <c r="I134" s="149" t="s">
        <v>413</v>
      </c>
      <c r="J134" s="29" t="s">
        <v>414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24.75" customHeight="1">
      <c r="A135" s="30"/>
      <c r="B135" s="40" t="s">
        <v>52</v>
      </c>
      <c r="C135" s="41" t="s">
        <v>411</v>
      </c>
      <c r="D135" s="33"/>
      <c r="E135" s="33" t="s">
        <v>415</v>
      </c>
      <c r="F135" s="42"/>
      <c r="G135" s="150"/>
      <c r="H135" s="151"/>
      <c r="I135" s="151" t="s">
        <v>416</v>
      </c>
      <c r="J135" s="38" t="s">
        <v>417</v>
      </c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24.75" customHeight="1">
      <c r="A136" s="30"/>
      <c r="B136" s="40" t="s">
        <v>78</v>
      </c>
      <c r="C136" s="41" t="s">
        <v>411</v>
      </c>
      <c r="D136" s="33"/>
      <c r="E136" s="33" t="s">
        <v>418</v>
      </c>
      <c r="F136" s="42">
        <v>140.0</v>
      </c>
      <c r="G136" s="150"/>
      <c r="H136" s="151"/>
      <c r="I136" s="151" t="s">
        <v>419</v>
      </c>
      <c r="J136" s="52" t="s">
        <v>420</v>
      </c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</row>
    <row r="137" ht="24.75" customHeight="1">
      <c r="A137" s="30"/>
      <c r="B137" s="31" t="s">
        <v>61</v>
      </c>
      <c r="C137" s="32" t="s">
        <v>411</v>
      </c>
      <c r="D137" s="34"/>
      <c r="E137" s="34" t="s">
        <v>421</v>
      </c>
      <c r="F137" s="42">
        <v>100.0</v>
      </c>
      <c r="G137" s="48"/>
      <c r="H137" s="50"/>
      <c r="I137" s="50" t="s">
        <v>422</v>
      </c>
      <c r="J137" s="52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</row>
    <row r="138" ht="24.75" customHeight="1">
      <c r="A138" s="30"/>
      <c r="B138" s="31" t="s">
        <v>65</v>
      </c>
      <c r="C138" s="32" t="s">
        <v>411</v>
      </c>
      <c r="D138" s="34"/>
      <c r="E138" s="34" t="s">
        <v>423</v>
      </c>
      <c r="F138" s="42">
        <v>100.0</v>
      </c>
      <c r="G138" s="48"/>
      <c r="H138" s="50"/>
      <c r="I138" s="50" t="s">
        <v>424</v>
      </c>
      <c r="J138" s="38" t="s">
        <v>425</v>
      </c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</row>
    <row r="139" ht="24.75" customHeight="1">
      <c r="A139" s="30"/>
      <c r="B139" s="31" t="s">
        <v>426</v>
      </c>
      <c r="C139" s="32" t="s">
        <v>411</v>
      </c>
      <c r="D139" s="33"/>
      <c r="E139" s="34" t="s">
        <v>427</v>
      </c>
      <c r="F139" s="42">
        <v>50.0</v>
      </c>
      <c r="G139" s="36"/>
      <c r="H139" s="43"/>
      <c r="I139" s="37" t="s">
        <v>428</v>
      </c>
      <c r="J139" s="38" t="s">
        <v>429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24.75" customHeight="1">
      <c r="A140" s="46"/>
      <c r="B140" s="31" t="s">
        <v>430</v>
      </c>
      <c r="C140" s="41"/>
      <c r="D140" s="33"/>
      <c r="E140" s="34" t="s">
        <v>431</v>
      </c>
      <c r="F140" s="42">
        <v>50.0</v>
      </c>
      <c r="G140" s="36"/>
      <c r="H140" s="43"/>
      <c r="I140" s="37" t="s">
        <v>432</v>
      </c>
      <c r="J140" s="38" t="s">
        <v>433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24.75" customHeight="1">
      <c r="A141" s="46"/>
      <c r="B141" s="40"/>
      <c r="C141" s="41"/>
      <c r="D141" s="33"/>
      <c r="E141" s="33"/>
      <c r="F141" s="42"/>
      <c r="G141" s="36"/>
      <c r="H141" s="43"/>
      <c r="I141" s="43"/>
      <c r="J141" s="38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24.75" customHeight="1">
      <c r="A142" s="21" t="s">
        <v>434</v>
      </c>
      <c r="B142" s="22" t="s">
        <v>40</v>
      </c>
      <c r="C142" s="23" t="s">
        <v>435</v>
      </c>
      <c r="D142" s="24"/>
      <c r="E142" s="24" t="s">
        <v>436</v>
      </c>
      <c r="F142" s="144"/>
      <c r="G142" s="136"/>
      <c r="H142" s="137"/>
      <c r="I142" s="137" t="s">
        <v>437</v>
      </c>
      <c r="J142" s="29" t="s">
        <v>438</v>
      </c>
      <c r="K142" s="13" t="s">
        <v>439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24.75" customHeight="1">
      <c r="A143" s="30"/>
      <c r="B143" s="31" t="s">
        <v>56</v>
      </c>
      <c r="C143" s="32" t="s">
        <v>435</v>
      </c>
      <c r="D143" s="34"/>
      <c r="E143" s="34" t="s">
        <v>440</v>
      </c>
      <c r="F143" s="42">
        <v>100.0</v>
      </c>
      <c r="G143" s="44"/>
      <c r="H143" s="37"/>
      <c r="I143" s="37" t="s">
        <v>441</v>
      </c>
      <c r="J143" s="38" t="s">
        <v>442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24.75" customHeight="1">
      <c r="A144" s="30"/>
      <c r="B144" s="40"/>
      <c r="C144" s="41"/>
      <c r="D144" s="33"/>
      <c r="E144" s="33"/>
      <c r="F144" s="42"/>
      <c r="G144" s="36"/>
      <c r="H144" s="43"/>
      <c r="I144" s="43"/>
      <c r="J144" s="52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24.75" customHeight="1">
      <c r="A145" s="30"/>
      <c r="B145" s="40"/>
      <c r="C145" s="41"/>
      <c r="D145" s="33"/>
      <c r="E145" s="33"/>
      <c r="F145" s="42"/>
      <c r="G145" s="36"/>
      <c r="H145" s="43"/>
      <c r="I145" s="43"/>
      <c r="J145" s="52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24.75" customHeight="1">
      <c r="A146" s="21" t="s">
        <v>443</v>
      </c>
      <c r="B146" s="22" t="s">
        <v>40</v>
      </c>
      <c r="C146" s="23" t="s">
        <v>444</v>
      </c>
      <c r="D146" s="24"/>
      <c r="E146" s="153" t="s">
        <v>445</v>
      </c>
      <c r="F146" s="128">
        <v>140.0</v>
      </c>
      <c r="G146" s="136"/>
      <c r="H146" s="137"/>
      <c r="I146" s="28" t="s">
        <v>446</v>
      </c>
      <c r="J146" s="29" t="s">
        <v>447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24.75" customHeight="1">
      <c r="A147" s="30"/>
      <c r="B147" s="40" t="s">
        <v>52</v>
      </c>
      <c r="C147" s="41" t="s">
        <v>444</v>
      </c>
      <c r="D147" s="33"/>
      <c r="E147" s="33" t="s">
        <v>448</v>
      </c>
      <c r="F147" s="42"/>
      <c r="G147" s="36"/>
      <c r="H147" s="43"/>
      <c r="I147" s="37" t="s">
        <v>449</v>
      </c>
      <c r="J147" s="38" t="s">
        <v>450</v>
      </c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24.75" customHeight="1">
      <c r="A148" s="154"/>
      <c r="B148" s="40" t="s">
        <v>78</v>
      </c>
      <c r="C148" s="41" t="s">
        <v>444</v>
      </c>
      <c r="D148" s="33"/>
      <c r="E148" s="33" t="s">
        <v>451</v>
      </c>
      <c r="F148" s="42"/>
      <c r="G148" s="155"/>
      <c r="H148" s="156"/>
      <c r="I148" s="157" t="s">
        <v>452</v>
      </c>
      <c r="J148" s="158" t="s">
        <v>453</v>
      </c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</row>
    <row r="149" ht="24.75" customHeight="1">
      <c r="A149" s="30"/>
      <c r="B149" s="31" t="s">
        <v>61</v>
      </c>
      <c r="C149" s="32" t="s">
        <v>444</v>
      </c>
      <c r="D149" s="34"/>
      <c r="E149" s="34" t="s">
        <v>454</v>
      </c>
      <c r="F149" s="42"/>
      <c r="G149" s="48"/>
      <c r="H149" s="48"/>
      <c r="I149" s="48" t="s">
        <v>455</v>
      </c>
      <c r="J149" s="38" t="s">
        <v>368</v>
      </c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</row>
    <row r="150" ht="24.75" customHeight="1">
      <c r="A150" s="161"/>
      <c r="B150" s="31" t="s">
        <v>456</v>
      </c>
      <c r="C150" s="32" t="s">
        <v>444</v>
      </c>
      <c r="D150" s="147"/>
      <c r="E150" s="34" t="s">
        <v>457</v>
      </c>
      <c r="F150" s="42"/>
      <c r="G150" s="162"/>
      <c r="H150" s="101"/>
      <c r="I150" s="147" t="s">
        <v>458</v>
      </c>
      <c r="J150" s="101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</row>
    <row r="151" ht="30.0" customHeight="1">
      <c r="A151" s="101"/>
      <c r="B151" s="40" t="s">
        <v>358</v>
      </c>
      <c r="C151" s="32" t="s">
        <v>459</v>
      </c>
      <c r="D151" s="101"/>
      <c r="E151" s="34" t="s">
        <v>460</v>
      </c>
      <c r="F151" s="42"/>
      <c r="G151" s="162"/>
      <c r="H151" s="101"/>
      <c r="I151" s="147" t="s">
        <v>461</v>
      </c>
      <c r="J151" s="101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</row>
    <row r="152" ht="28.5" customHeight="1">
      <c r="A152" s="101"/>
      <c r="B152" s="31" t="s">
        <v>56</v>
      </c>
      <c r="C152" s="32" t="s">
        <v>444</v>
      </c>
      <c r="D152" s="101"/>
      <c r="E152" s="34" t="s">
        <v>462</v>
      </c>
      <c r="F152" s="35">
        <v>160.0</v>
      </c>
      <c r="G152" s="163" t="s">
        <v>463</v>
      </c>
      <c r="H152" s="101"/>
      <c r="I152" s="147" t="s">
        <v>464</v>
      </c>
      <c r="J152" s="147" t="s">
        <v>465</v>
      </c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</row>
    <row r="153" ht="28.5" customHeight="1">
      <c r="A153" s="101"/>
      <c r="B153" s="31" t="s">
        <v>81</v>
      </c>
      <c r="C153" s="32" t="s">
        <v>444</v>
      </c>
      <c r="D153" s="101"/>
      <c r="E153" s="34" t="s">
        <v>466</v>
      </c>
      <c r="F153" s="42">
        <v>100.0</v>
      </c>
      <c r="G153" s="162"/>
      <c r="H153" s="101"/>
      <c r="I153" s="147" t="s">
        <v>467</v>
      </c>
      <c r="J153" s="147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</row>
    <row r="154" ht="28.5" customHeight="1">
      <c r="A154" s="101"/>
      <c r="B154" s="31" t="s">
        <v>468</v>
      </c>
      <c r="C154" s="32" t="s">
        <v>444</v>
      </c>
      <c r="D154" s="101"/>
      <c r="E154" s="34" t="s">
        <v>469</v>
      </c>
      <c r="F154" s="42">
        <v>80.0</v>
      </c>
      <c r="G154" s="162"/>
      <c r="H154" s="101"/>
      <c r="I154" s="164" t="s">
        <v>470</v>
      </c>
      <c r="J154" s="147" t="s">
        <v>471</v>
      </c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</row>
    <row r="155" ht="28.5" customHeight="1">
      <c r="A155" s="101"/>
      <c r="B155" s="165"/>
      <c r="C155" s="166"/>
      <c r="D155" s="101"/>
      <c r="E155" s="34"/>
      <c r="F155" s="42"/>
      <c r="G155" s="162"/>
      <c r="H155" s="101"/>
      <c r="I155" s="101"/>
      <c r="J155" s="101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</row>
    <row r="156" ht="24.75" customHeight="1">
      <c r="A156" s="21" t="s">
        <v>472</v>
      </c>
      <c r="B156" s="22" t="s">
        <v>40</v>
      </c>
      <c r="C156" s="23" t="s">
        <v>473</v>
      </c>
      <c r="D156" s="24"/>
      <c r="E156" s="24" t="s">
        <v>474</v>
      </c>
      <c r="F156" s="144"/>
      <c r="G156" s="136"/>
      <c r="H156" s="137"/>
      <c r="I156" s="28" t="s">
        <v>475</v>
      </c>
      <c r="J156" s="29" t="s">
        <v>476</v>
      </c>
      <c r="K156" s="13" t="s">
        <v>477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24.75" customHeight="1">
      <c r="A157" s="30"/>
      <c r="B157" s="31" t="s">
        <v>56</v>
      </c>
      <c r="C157" s="32" t="s">
        <v>473</v>
      </c>
      <c r="D157" s="33"/>
      <c r="E157" s="34" t="s">
        <v>478</v>
      </c>
      <c r="F157" s="42"/>
      <c r="G157" s="36"/>
      <c r="H157" s="43"/>
      <c r="I157" s="37" t="s">
        <v>479</v>
      </c>
      <c r="J157" s="52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24.75" customHeight="1">
      <c r="A158" s="30"/>
      <c r="B158" s="40"/>
      <c r="C158" s="41"/>
      <c r="D158" s="33"/>
      <c r="E158" s="33"/>
      <c r="F158" s="42"/>
      <c r="G158" s="36"/>
      <c r="H158" s="43"/>
      <c r="I158" s="43"/>
      <c r="J158" s="52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24.75" customHeight="1">
      <c r="A159" s="30"/>
      <c r="B159" s="40"/>
      <c r="C159" s="41"/>
      <c r="D159" s="33"/>
      <c r="E159" s="33"/>
      <c r="F159" s="42"/>
      <c r="G159" s="36"/>
      <c r="H159" s="43"/>
      <c r="I159" s="43"/>
      <c r="J159" s="52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24.75" customHeight="1">
      <c r="A160" s="21" t="s">
        <v>480</v>
      </c>
      <c r="B160" s="22" t="s">
        <v>40</v>
      </c>
      <c r="C160" s="23" t="s">
        <v>481</v>
      </c>
      <c r="D160" s="24"/>
      <c r="E160" s="153" t="s">
        <v>482</v>
      </c>
      <c r="F160" s="144"/>
      <c r="G160" s="136"/>
      <c r="H160" s="137"/>
      <c r="I160" s="137" t="s">
        <v>483</v>
      </c>
      <c r="J160" s="134"/>
      <c r="K160" s="13" t="s">
        <v>47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24.75" customHeight="1">
      <c r="A161" s="30"/>
      <c r="B161" s="31" t="s">
        <v>484</v>
      </c>
      <c r="C161" s="32" t="s">
        <v>481</v>
      </c>
      <c r="D161" s="33"/>
      <c r="E161" s="34" t="s">
        <v>485</v>
      </c>
      <c r="F161" s="42"/>
      <c r="G161" s="36"/>
      <c r="H161" s="43"/>
      <c r="I161" s="43"/>
      <c r="J161" s="52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24.75" customHeight="1">
      <c r="A162" s="30"/>
      <c r="B162" s="31" t="s">
        <v>61</v>
      </c>
      <c r="C162" s="32" t="s">
        <v>481</v>
      </c>
      <c r="D162" s="33"/>
      <c r="E162" s="34" t="s">
        <v>454</v>
      </c>
      <c r="F162" s="42"/>
      <c r="G162" s="36"/>
      <c r="H162" s="43"/>
      <c r="I162" s="43"/>
      <c r="J162" s="52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24.75" customHeight="1">
      <c r="A163" s="30"/>
      <c r="B163" s="40"/>
      <c r="C163" s="41"/>
      <c r="D163" s="33"/>
      <c r="E163" s="33"/>
      <c r="F163" s="42"/>
      <c r="G163" s="36"/>
      <c r="H163" s="43"/>
      <c r="I163" s="43"/>
      <c r="J163" s="52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24.75" customHeight="1">
      <c r="A164" s="30"/>
      <c r="B164" s="40"/>
      <c r="C164" s="41"/>
      <c r="D164" s="33"/>
      <c r="E164" s="33"/>
      <c r="F164" s="42"/>
      <c r="G164" s="36"/>
      <c r="H164" s="43"/>
      <c r="I164" s="43"/>
      <c r="J164" s="52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24.75" customHeight="1">
      <c r="A165" s="30"/>
      <c r="B165" s="40"/>
      <c r="C165" s="41"/>
      <c r="D165" s="33"/>
      <c r="E165" s="33"/>
      <c r="F165" s="42"/>
      <c r="G165" s="36"/>
      <c r="H165" s="43"/>
      <c r="I165" s="43"/>
      <c r="J165" s="52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24.75" customHeight="1">
      <c r="A166" s="21" t="s">
        <v>486</v>
      </c>
      <c r="B166" s="22" t="s">
        <v>40</v>
      </c>
      <c r="C166" s="23" t="s">
        <v>487</v>
      </c>
      <c r="D166" s="24"/>
      <c r="E166" s="24" t="s">
        <v>488</v>
      </c>
      <c r="F166" s="144"/>
      <c r="G166" s="136"/>
      <c r="H166" s="137"/>
      <c r="I166" s="137" t="s">
        <v>489</v>
      </c>
      <c r="J166" s="134"/>
      <c r="K166" s="13" t="s">
        <v>477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24.75" customHeight="1">
      <c r="A167" s="30"/>
      <c r="B167" s="40" t="s">
        <v>78</v>
      </c>
      <c r="C167" s="41" t="s">
        <v>487</v>
      </c>
      <c r="D167" s="33"/>
      <c r="E167" s="34" t="s">
        <v>490</v>
      </c>
      <c r="F167" s="42"/>
      <c r="G167" s="36"/>
      <c r="H167" s="43"/>
      <c r="I167" s="37" t="s">
        <v>491</v>
      </c>
      <c r="J167" s="38" t="s">
        <v>492</v>
      </c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</row>
    <row r="168" ht="24.75" customHeight="1">
      <c r="A168" s="30"/>
      <c r="B168" s="31" t="s">
        <v>61</v>
      </c>
      <c r="C168" s="32" t="s">
        <v>487</v>
      </c>
      <c r="D168" s="34" t="s">
        <v>493</v>
      </c>
      <c r="E168" s="34" t="s">
        <v>454</v>
      </c>
      <c r="F168" s="42"/>
      <c r="G168" s="36"/>
      <c r="H168" s="43"/>
      <c r="I168" s="43"/>
      <c r="J168" s="52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24.75" customHeight="1">
      <c r="A169" s="30"/>
      <c r="B169" s="31" t="s">
        <v>273</v>
      </c>
      <c r="C169" s="32" t="s">
        <v>487</v>
      </c>
      <c r="D169" s="33"/>
      <c r="E169" s="33"/>
      <c r="F169" s="42"/>
      <c r="G169" s="36"/>
      <c r="H169" s="43"/>
      <c r="I169" s="43"/>
      <c r="J169" s="52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24.75" customHeight="1">
      <c r="A170" s="30"/>
      <c r="B170" s="40"/>
      <c r="C170" s="41"/>
      <c r="D170" s="33"/>
      <c r="E170" s="33"/>
      <c r="F170" s="42"/>
      <c r="G170" s="36"/>
      <c r="H170" s="43"/>
      <c r="I170" s="43"/>
      <c r="J170" s="52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24.75" customHeight="1">
      <c r="A171" s="21" t="s">
        <v>494</v>
      </c>
      <c r="B171" s="22" t="s">
        <v>40</v>
      </c>
      <c r="C171" s="23" t="s">
        <v>495</v>
      </c>
      <c r="D171" s="24"/>
      <c r="E171" s="24" t="s">
        <v>496</v>
      </c>
      <c r="F171" s="144"/>
      <c r="G171" s="136"/>
      <c r="H171" s="137"/>
      <c r="I171" s="137" t="s">
        <v>497</v>
      </c>
      <c r="J171" s="134"/>
      <c r="K171" s="13" t="s">
        <v>477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24.75" customHeight="1">
      <c r="A172" s="30"/>
      <c r="B172" s="40"/>
      <c r="C172" s="41"/>
      <c r="D172" s="33"/>
      <c r="E172" s="33"/>
      <c r="F172" s="42"/>
      <c r="G172" s="36"/>
      <c r="H172" s="43"/>
      <c r="I172" s="43"/>
      <c r="J172" s="52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24.75" customHeight="1">
      <c r="A173" s="30"/>
      <c r="B173" s="40"/>
      <c r="C173" s="41"/>
      <c r="D173" s="33"/>
      <c r="E173" s="33"/>
      <c r="F173" s="42"/>
      <c r="G173" s="36"/>
      <c r="H173" s="43"/>
      <c r="I173" s="43"/>
      <c r="J173" s="52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24.75" customHeight="1">
      <c r="A174" s="21" t="s">
        <v>498</v>
      </c>
      <c r="B174" s="22" t="s">
        <v>40</v>
      </c>
      <c r="C174" s="23" t="s">
        <v>499</v>
      </c>
      <c r="D174" s="24"/>
      <c r="E174" s="24" t="s">
        <v>500</v>
      </c>
      <c r="F174" s="144"/>
      <c r="G174" s="136"/>
      <c r="H174" s="137"/>
      <c r="I174" s="137" t="s">
        <v>501</v>
      </c>
      <c r="J174" s="134"/>
      <c r="K174" s="13" t="s">
        <v>47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24.75" customHeight="1">
      <c r="A175" s="30"/>
      <c r="B175" s="40" t="s">
        <v>56</v>
      </c>
      <c r="C175" s="41" t="s">
        <v>499</v>
      </c>
      <c r="D175" s="33"/>
      <c r="E175" s="33" t="s">
        <v>502</v>
      </c>
      <c r="F175" s="42"/>
      <c r="G175" s="36"/>
      <c r="H175" s="43"/>
      <c r="I175" s="43">
        <v>3.106420322E9</v>
      </c>
      <c r="J175" s="52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</row>
    <row r="176" ht="24.75" customHeight="1">
      <c r="A176" s="119"/>
      <c r="B176" s="167" t="s">
        <v>503</v>
      </c>
      <c r="C176" s="168" t="s">
        <v>499</v>
      </c>
      <c r="D176" s="122"/>
      <c r="E176" s="169" t="s">
        <v>504</v>
      </c>
      <c r="F176" s="42"/>
      <c r="G176" s="123"/>
      <c r="H176" s="124"/>
      <c r="I176" s="12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24.75" customHeight="1">
      <c r="A177" s="119"/>
      <c r="B177" s="167" t="s">
        <v>505</v>
      </c>
      <c r="C177" s="168" t="s">
        <v>499</v>
      </c>
      <c r="D177" s="122"/>
      <c r="E177" s="169" t="s">
        <v>506</v>
      </c>
      <c r="F177" s="35">
        <v>80.0</v>
      </c>
      <c r="G177" s="123"/>
      <c r="H177" s="124"/>
      <c r="I177" s="170" t="s">
        <v>507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24.75" customHeight="1">
      <c r="A178" s="119"/>
      <c r="B178" s="167" t="s">
        <v>124</v>
      </c>
      <c r="C178" s="168" t="s">
        <v>499</v>
      </c>
      <c r="D178" s="122"/>
      <c r="E178" s="169" t="s">
        <v>508</v>
      </c>
      <c r="F178" s="35">
        <v>150.0</v>
      </c>
      <c r="G178" s="123"/>
      <c r="H178" s="124"/>
      <c r="I178" s="12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24.75" customHeight="1">
      <c r="A179" s="119"/>
      <c r="B179" s="167" t="s">
        <v>509</v>
      </c>
      <c r="C179" s="168" t="s">
        <v>499</v>
      </c>
      <c r="D179" s="122"/>
      <c r="E179" s="169" t="s">
        <v>510</v>
      </c>
      <c r="F179" s="35">
        <v>165.0</v>
      </c>
      <c r="G179" s="123"/>
      <c r="H179" s="124"/>
      <c r="I179" s="170" t="s">
        <v>511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24.75" customHeight="1">
      <c r="A180" s="119"/>
      <c r="B180" s="167" t="s">
        <v>512</v>
      </c>
      <c r="C180" s="168" t="s">
        <v>499</v>
      </c>
      <c r="D180" s="122"/>
      <c r="E180" s="169" t="s">
        <v>513</v>
      </c>
      <c r="F180" s="35">
        <v>225.0</v>
      </c>
      <c r="G180" s="171" t="s">
        <v>514</v>
      </c>
      <c r="H180" s="124"/>
      <c r="I180" s="17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24.75" customHeight="1">
      <c r="A181" s="21" t="s">
        <v>515</v>
      </c>
      <c r="B181" s="22" t="s">
        <v>40</v>
      </c>
      <c r="C181" s="23" t="s">
        <v>516</v>
      </c>
      <c r="D181" s="24"/>
      <c r="E181" s="24" t="s">
        <v>517</v>
      </c>
      <c r="F181" s="128">
        <v>119.0</v>
      </c>
      <c r="G181" s="172"/>
      <c r="H181" s="173"/>
      <c r="I181" s="174" t="s">
        <v>518</v>
      </c>
      <c r="J181" s="29" t="s">
        <v>519</v>
      </c>
      <c r="K181" s="13" t="s">
        <v>47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24.75" customHeight="1">
      <c r="A182" s="119"/>
      <c r="B182" s="120"/>
      <c r="C182" s="121"/>
      <c r="D182" s="122"/>
      <c r="E182" s="122"/>
      <c r="F182" s="42"/>
      <c r="G182" s="123"/>
      <c r="H182" s="124"/>
      <c r="I182" s="12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24.75" customHeight="1">
      <c r="A183" s="119"/>
      <c r="B183" s="120"/>
      <c r="C183" s="121"/>
      <c r="D183" s="122"/>
      <c r="E183" s="122"/>
      <c r="F183" s="42"/>
      <c r="G183" s="123"/>
      <c r="H183" s="124"/>
      <c r="I183" s="12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24.75" customHeight="1">
      <c r="A184" s="21" t="s">
        <v>520</v>
      </c>
      <c r="B184" s="22" t="s">
        <v>40</v>
      </c>
      <c r="C184" s="23" t="s">
        <v>521</v>
      </c>
      <c r="D184" s="24"/>
      <c r="E184" s="24" t="s">
        <v>522</v>
      </c>
      <c r="F184" s="144"/>
      <c r="G184" s="136"/>
      <c r="H184" s="137"/>
      <c r="I184" s="28" t="s">
        <v>523</v>
      </c>
      <c r="J184" s="134"/>
      <c r="K184" s="13" t="s">
        <v>477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24.75" customHeight="1">
      <c r="A185" s="119"/>
      <c r="B185" s="120"/>
      <c r="C185" s="121"/>
      <c r="D185" s="122"/>
      <c r="E185" s="122"/>
      <c r="F185" s="42"/>
      <c r="G185" s="123"/>
      <c r="H185" s="170" t="s">
        <v>524</v>
      </c>
      <c r="I185" s="170" t="s">
        <v>525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24.75" customHeight="1">
      <c r="A186" s="119"/>
      <c r="B186" s="120"/>
      <c r="C186" s="121"/>
      <c r="D186" s="122"/>
      <c r="E186" s="122"/>
      <c r="F186" s="42"/>
      <c r="G186" s="123"/>
      <c r="H186" s="124"/>
      <c r="I186" s="12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24.75" customHeight="1">
      <c r="A187" s="21" t="s">
        <v>526</v>
      </c>
      <c r="B187" s="175" t="s">
        <v>527</v>
      </c>
      <c r="C187" s="176" t="s">
        <v>528</v>
      </c>
      <c r="D187" s="153"/>
      <c r="E187" s="153" t="s">
        <v>529</v>
      </c>
      <c r="F187" s="144"/>
      <c r="G187" s="177"/>
      <c r="H187" s="29"/>
      <c r="I187" s="29" t="s">
        <v>530</v>
      </c>
      <c r="J187" s="29" t="s">
        <v>531</v>
      </c>
      <c r="K187" s="178" t="s">
        <v>477</v>
      </c>
      <c r="L187" s="179" t="s">
        <v>532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27.0" customHeight="1">
      <c r="A188" s="104"/>
      <c r="B188" s="125"/>
      <c r="C188" s="126"/>
      <c r="D188" s="104"/>
      <c r="E188" s="104"/>
      <c r="F188" s="42"/>
      <c r="G188" s="127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</row>
    <row r="189" ht="24.75" customHeight="1">
      <c r="A189" s="119"/>
      <c r="B189" s="120"/>
      <c r="C189" s="121"/>
      <c r="D189" s="122"/>
      <c r="E189" s="122"/>
      <c r="F189" s="42"/>
      <c r="G189" s="123"/>
      <c r="H189" s="124"/>
      <c r="I189" s="12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24.75" customHeight="1">
      <c r="A190" s="21" t="s">
        <v>533</v>
      </c>
      <c r="B190" s="175" t="s">
        <v>527</v>
      </c>
      <c r="C190" s="23" t="s">
        <v>534</v>
      </c>
      <c r="D190" s="24"/>
      <c r="E190" s="24" t="s">
        <v>535</v>
      </c>
      <c r="F190" s="144"/>
      <c r="G190" s="136"/>
      <c r="H190" s="137"/>
      <c r="I190" s="137" t="s">
        <v>536</v>
      </c>
      <c r="J190" s="29" t="s">
        <v>537</v>
      </c>
      <c r="K190" s="13" t="s">
        <v>439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24.75" customHeight="1">
      <c r="A191" s="119"/>
      <c r="B191" s="167" t="s">
        <v>538</v>
      </c>
      <c r="C191" s="168" t="s">
        <v>534</v>
      </c>
      <c r="D191" s="122"/>
      <c r="E191" s="169" t="s">
        <v>539</v>
      </c>
      <c r="F191" s="42"/>
      <c r="G191" s="18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24.75" customHeight="1">
      <c r="A192" s="119"/>
      <c r="B192" s="167" t="s">
        <v>394</v>
      </c>
      <c r="C192" s="168" t="s">
        <v>534</v>
      </c>
      <c r="D192" s="122"/>
      <c r="E192" s="169" t="s">
        <v>540</v>
      </c>
      <c r="F192" s="42"/>
      <c r="G192" s="18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24.75" customHeight="1">
      <c r="A193" s="119"/>
      <c r="B193" s="167" t="s">
        <v>394</v>
      </c>
      <c r="C193" s="121"/>
      <c r="D193" s="122"/>
      <c r="E193" s="169" t="s">
        <v>540</v>
      </c>
      <c r="F193" s="42"/>
      <c r="G193" s="181" t="s">
        <v>541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24.75" customHeight="1">
      <c r="A194" s="119"/>
      <c r="B194" s="120"/>
      <c r="C194" s="121"/>
      <c r="D194" s="122"/>
      <c r="E194" s="122"/>
      <c r="F194" s="42"/>
      <c r="G194" s="18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24.75" customHeight="1">
      <c r="A195" s="21" t="s">
        <v>542</v>
      </c>
      <c r="B195" s="22" t="s">
        <v>40</v>
      </c>
      <c r="C195" s="23" t="s">
        <v>543</v>
      </c>
      <c r="D195" s="24"/>
      <c r="E195" s="24" t="s">
        <v>544</v>
      </c>
      <c r="F195" s="144"/>
      <c r="G195" s="182"/>
      <c r="H195" s="183"/>
      <c r="I195" s="183" t="str">
        <f>HYPERLINK("javascript:void(0)","718-656-5261")</f>
        <v>718-656-5261</v>
      </c>
      <c r="J195" s="29" t="s">
        <v>545</v>
      </c>
      <c r="K195" s="13" t="s">
        <v>439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24.75" customHeight="1">
      <c r="A196" s="30"/>
      <c r="B196" s="40" t="s">
        <v>78</v>
      </c>
      <c r="C196" s="41" t="s">
        <v>543</v>
      </c>
      <c r="D196" s="33"/>
      <c r="E196" s="33" t="s">
        <v>546</v>
      </c>
      <c r="F196" s="42"/>
      <c r="G196" s="184"/>
      <c r="H196" s="185"/>
      <c r="I196" s="185" t="s">
        <v>547</v>
      </c>
      <c r="J196" s="52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</row>
    <row r="197" ht="24.75" customHeight="1">
      <c r="A197" s="30"/>
      <c r="B197" s="40"/>
      <c r="C197" s="41"/>
      <c r="D197" s="33"/>
      <c r="E197" s="33"/>
      <c r="F197" s="42"/>
      <c r="G197" s="138"/>
      <c r="H197" s="52"/>
      <c r="I197" s="52"/>
      <c r="J197" s="52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24.75" customHeight="1">
      <c r="A198" s="30"/>
      <c r="B198" s="40"/>
      <c r="C198" s="41"/>
      <c r="D198" s="33"/>
      <c r="E198" s="33"/>
      <c r="F198" s="42"/>
      <c r="G198" s="138"/>
      <c r="H198" s="52"/>
      <c r="I198" s="52"/>
      <c r="J198" s="52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24.75" customHeight="1">
      <c r="A199" s="21" t="s">
        <v>548</v>
      </c>
      <c r="B199" s="22" t="s">
        <v>40</v>
      </c>
      <c r="C199" s="23" t="s">
        <v>549</v>
      </c>
      <c r="D199" s="24"/>
      <c r="E199" s="24" t="s">
        <v>550</v>
      </c>
      <c r="F199" s="144"/>
      <c r="G199" s="186"/>
      <c r="H199" s="134"/>
      <c r="I199" s="134" t="s">
        <v>551</v>
      </c>
      <c r="J199" s="134"/>
      <c r="K199" s="13" t="s">
        <v>439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24.75" customHeight="1">
      <c r="A200" s="30"/>
      <c r="B200" s="31" t="s">
        <v>552</v>
      </c>
      <c r="C200" s="41" t="s">
        <v>549</v>
      </c>
      <c r="D200" s="33"/>
      <c r="E200" s="34" t="s">
        <v>553</v>
      </c>
      <c r="F200" s="42"/>
      <c r="G200" s="184"/>
      <c r="H200" s="185"/>
      <c r="I200" s="146" t="s">
        <v>554</v>
      </c>
      <c r="J200" s="52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24.75" customHeight="1">
      <c r="A201" s="30"/>
      <c r="B201" s="187"/>
      <c r="C201" s="188"/>
      <c r="D201" s="189"/>
      <c r="E201" s="189"/>
      <c r="F201" s="42"/>
      <c r="G201" s="138"/>
      <c r="H201" s="52"/>
      <c r="I201" s="52"/>
      <c r="J201" s="52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24.75" customHeight="1">
      <c r="A202" s="30"/>
      <c r="B202" s="187"/>
      <c r="C202" s="188"/>
      <c r="D202" s="189"/>
      <c r="E202" s="189"/>
      <c r="F202" s="42"/>
      <c r="G202" s="138"/>
      <c r="H202" s="52"/>
      <c r="I202" s="52"/>
      <c r="J202" s="52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24.75" customHeight="1">
      <c r="A203" s="21" t="s">
        <v>555</v>
      </c>
      <c r="B203" s="22" t="s">
        <v>56</v>
      </c>
      <c r="C203" s="23" t="s">
        <v>556</v>
      </c>
      <c r="D203" s="24"/>
      <c r="E203" s="24" t="s">
        <v>557</v>
      </c>
      <c r="F203" s="144"/>
      <c r="G203" s="186"/>
      <c r="H203" s="190"/>
      <c r="I203" s="191" t="s">
        <v>558</v>
      </c>
      <c r="J203" s="134"/>
      <c r="K203" s="192" t="s">
        <v>439</v>
      </c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</row>
    <row r="204" ht="24.75" customHeight="1">
      <c r="A204" s="30"/>
      <c r="B204" s="31" t="s">
        <v>527</v>
      </c>
      <c r="C204" s="32" t="s">
        <v>556</v>
      </c>
      <c r="D204" s="189"/>
      <c r="E204" s="34" t="s">
        <v>559</v>
      </c>
      <c r="F204" s="35">
        <v>100.0</v>
      </c>
      <c r="G204" s="138"/>
      <c r="H204" s="52"/>
      <c r="I204" s="38" t="s">
        <v>536</v>
      </c>
      <c r="J204" s="52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24.75" customHeight="1">
      <c r="A205" s="30"/>
      <c r="B205" s="31" t="s">
        <v>12</v>
      </c>
      <c r="C205" s="32" t="s">
        <v>556</v>
      </c>
      <c r="D205" s="189"/>
      <c r="E205" s="34" t="s">
        <v>560</v>
      </c>
      <c r="F205" s="35">
        <v>129.0</v>
      </c>
      <c r="G205" s="138"/>
      <c r="H205" s="52"/>
      <c r="I205" s="38" t="s">
        <v>561</v>
      </c>
      <c r="J205" s="52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24.75" customHeight="1">
      <c r="A206" s="30"/>
      <c r="B206" s="31" t="s">
        <v>65</v>
      </c>
      <c r="C206" s="32" t="s">
        <v>556</v>
      </c>
      <c r="D206" s="189"/>
      <c r="E206" s="34" t="s">
        <v>562</v>
      </c>
      <c r="F206" s="35">
        <v>95.0</v>
      </c>
      <c r="G206" s="138"/>
      <c r="H206" s="52"/>
      <c r="I206" s="38" t="s">
        <v>563</v>
      </c>
      <c r="J206" s="52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24.75" customHeight="1">
      <c r="A207" s="30"/>
      <c r="B207" s="31" t="s">
        <v>394</v>
      </c>
      <c r="C207" s="32" t="s">
        <v>556</v>
      </c>
      <c r="D207" s="189"/>
      <c r="E207" s="193"/>
      <c r="F207" s="35"/>
      <c r="G207" s="138"/>
      <c r="H207" s="52"/>
      <c r="I207" s="38" t="s">
        <v>564</v>
      </c>
      <c r="J207" s="134"/>
      <c r="K207" s="192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</row>
    <row r="208" ht="24.75" customHeight="1">
      <c r="A208" s="30"/>
      <c r="B208" s="31" t="s">
        <v>8</v>
      </c>
      <c r="C208" s="32" t="s">
        <v>556</v>
      </c>
      <c r="D208" s="189"/>
      <c r="E208" s="34" t="s">
        <v>565</v>
      </c>
      <c r="F208" s="35">
        <v>120.0</v>
      </c>
      <c r="G208" s="138"/>
      <c r="H208" s="52"/>
      <c r="I208" s="38" t="s">
        <v>566</v>
      </c>
      <c r="J208" s="134"/>
      <c r="K208" s="192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</row>
    <row r="209" ht="24.75" customHeight="1">
      <c r="A209" s="30"/>
      <c r="B209" s="31"/>
      <c r="C209" s="41"/>
      <c r="D209" s="189"/>
      <c r="E209" s="193"/>
      <c r="F209" s="35"/>
      <c r="G209" s="138"/>
      <c r="H209" s="52"/>
      <c r="I209" s="38"/>
      <c r="J209" s="134"/>
      <c r="K209" s="192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</row>
    <row r="210" ht="24.75" customHeight="1">
      <c r="A210" s="21" t="s">
        <v>567</v>
      </c>
      <c r="B210" s="22" t="s">
        <v>56</v>
      </c>
      <c r="C210" s="23" t="s">
        <v>568</v>
      </c>
      <c r="D210" s="24"/>
      <c r="E210" s="24" t="s">
        <v>569</v>
      </c>
      <c r="F210" s="144"/>
      <c r="G210" s="186"/>
      <c r="H210" s="134"/>
      <c r="I210" s="134" t="s">
        <v>570</v>
      </c>
      <c r="J210" s="134"/>
      <c r="K210" s="192" t="s">
        <v>47</v>
      </c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</row>
    <row r="211" ht="24.75" customHeight="1">
      <c r="A211" s="30"/>
      <c r="B211" s="31" t="s">
        <v>527</v>
      </c>
      <c r="C211" s="32" t="s">
        <v>568</v>
      </c>
      <c r="D211" s="33"/>
      <c r="E211" s="34" t="s">
        <v>571</v>
      </c>
      <c r="F211" s="42"/>
      <c r="G211" s="138"/>
      <c r="H211" s="52"/>
      <c r="I211" s="52"/>
      <c r="J211" s="52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24.75" customHeight="1">
      <c r="A212" s="30"/>
      <c r="B212" s="31" t="s">
        <v>115</v>
      </c>
      <c r="C212" s="32" t="s">
        <v>568</v>
      </c>
      <c r="D212" s="33"/>
      <c r="E212" s="34" t="s">
        <v>572</v>
      </c>
      <c r="F212" s="42"/>
      <c r="G212" s="138"/>
      <c r="H212" s="52"/>
      <c r="I212" s="38" t="s">
        <v>573</v>
      </c>
      <c r="J212" s="52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24.75" customHeight="1">
      <c r="A213" s="30"/>
      <c r="B213" s="31" t="s">
        <v>65</v>
      </c>
      <c r="C213" s="32" t="s">
        <v>568</v>
      </c>
      <c r="D213" s="33"/>
      <c r="E213" s="34" t="s">
        <v>574</v>
      </c>
      <c r="F213" s="35">
        <v>100.0</v>
      </c>
      <c r="G213" s="138"/>
      <c r="H213" s="52"/>
      <c r="I213" s="52"/>
      <c r="J213" s="52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24.75" customHeight="1">
      <c r="A214" s="30"/>
      <c r="B214" s="31" t="s">
        <v>575</v>
      </c>
      <c r="C214" s="32" t="s">
        <v>568</v>
      </c>
      <c r="D214" s="33"/>
      <c r="E214" s="34" t="s">
        <v>576</v>
      </c>
      <c r="F214" s="35">
        <v>60.0</v>
      </c>
      <c r="G214" s="138"/>
      <c r="H214" s="52"/>
      <c r="I214" s="38" t="s">
        <v>577</v>
      </c>
      <c r="J214" s="38" t="s">
        <v>578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24.75" customHeight="1">
      <c r="A215" s="30"/>
      <c r="B215" s="194" t="s">
        <v>247</v>
      </c>
      <c r="C215" s="32" t="s">
        <v>568</v>
      </c>
      <c r="D215" s="33"/>
      <c r="E215" s="34" t="s">
        <v>579</v>
      </c>
      <c r="F215" s="42"/>
      <c r="G215" s="138"/>
      <c r="H215" s="52"/>
      <c r="I215" s="38" t="s">
        <v>580</v>
      </c>
      <c r="J215" s="52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24.75" customHeight="1">
      <c r="A216" s="30"/>
      <c r="B216" s="31" t="s">
        <v>124</v>
      </c>
      <c r="C216" s="32" t="s">
        <v>568</v>
      </c>
      <c r="D216" s="33"/>
      <c r="E216" s="34" t="s">
        <v>508</v>
      </c>
      <c r="F216" s="35">
        <v>200.0</v>
      </c>
      <c r="G216" s="138"/>
      <c r="H216" s="52"/>
      <c r="I216" s="38" t="s">
        <v>581</v>
      </c>
      <c r="J216" s="38" t="s">
        <v>582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24.75" customHeight="1">
      <c r="A217" s="30"/>
      <c r="B217" s="31"/>
      <c r="C217" s="32"/>
      <c r="D217" s="33"/>
      <c r="E217" s="34"/>
      <c r="F217" s="35"/>
      <c r="G217" s="138"/>
      <c r="H217" s="52"/>
      <c r="I217" s="38"/>
      <c r="J217" s="38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24.75" customHeight="1">
      <c r="A218" s="21" t="s">
        <v>583</v>
      </c>
      <c r="B218" s="22" t="s">
        <v>56</v>
      </c>
      <c r="C218" s="23" t="s">
        <v>584</v>
      </c>
      <c r="D218" s="24"/>
      <c r="E218" s="24" t="s">
        <v>585</v>
      </c>
      <c r="F218" s="144"/>
      <c r="G218" s="177" t="s">
        <v>586</v>
      </c>
      <c r="H218" s="134"/>
      <c r="I218" s="134" t="s">
        <v>587</v>
      </c>
      <c r="J218" s="134"/>
      <c r="K218" s="192" t="s">
        <v>47</v>
      </c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</row>
    <row r="219" ht="24.75" customHeight="1">
      <c r="A219" s="119"/>
      <c r="B219" s="167" t="s">
        <v>71</v>
      </c>
      <c r="C219" s="32" t="s">
        <v>584</v>
      </c>
      <c r="D219" s="122"/>
      <c r="E219" s="169" t="s">
        <v>588</v>
      </c>
      <c r="F219" s="42"/>
      <c r="G219" s="180"/>
      <c r="H219" s="4"/>
      <c r="I219" s="13" t="s">
        <v>589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24.75" customHeight="1">
      <c r="A220" s="119"/>
      <c r="B220" s="167" t="s">
        <v>97</v>
      </c>
      <c r="C220" s="32" t="s">
        <v>584</v>
      </c>
      <c r="D220" s="122"/>
      <c r="E220" s="169" t="s">
        <v>590</v>
      </c>
      <c r="F220" s="42"/>
      <c r="G220" s="180"/>
      <c r="H220" s="4"/>
      <c r="I220" s="13" t="s">
        <v>591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24.75" customHeight="1">
      <c r="A221" s="119"/>
      <c r="B221" s="167" t="s">
        <v>527</v>
      </c>
      <c r="C221" s="32"/>
      <c r="D221" s="122"/>
      <c r="E221" s="169"/>
      <c r="F221" s="42"/>
      <c r="G221" s="180"/>
      <c r="H221" s="4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24.75" customHeight="1">
      <c r="A222" s="119"/>
      <c r="B222" s="167" t="s">
        <v>394</v>
      </c>
      <c r="C222" s="168" t="s">
        <v>584</v>
      </c>
      <c r="D222" s="122"/>
      <c r="E222" s="169" t="s">
        <v>592</v>
      </c>
      <c r="F222" s="42"/>
      <c r="G222" s="180"/>
      <c r="H222" s="4"/>
      <c r="I222" s="13" t="s">
        <v>593</v>
      </c>
      <c r="J222" s="13" t="s">
        <v>594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24.75" customHeight="1">
      <c r="A223" s="119"/>
      <c r="B223" s="167" t="s">
        <v>595</v>
      </c>
      <c r="C223" s="168" t="s">
        <v>584</v>
      </c>
      <c r="D223" s="122"/>
      <c r="E223" s="169" t="s">
        <v>596</v>
      </c>
      <c r="F223" s="42"/>
      <c r="G223" s="180"/>
      <c r="H223" s="4"/>
      <c r="I223" s="13" t="s">
        <v>597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24.75" customHeight="1">
      <c r="A224" s="119"/>
      <c r="B224" s="167" t="s">
        <v>598</v>
      </c>
      <c r="C224" s="168" t="s">
        <v>584</v>
      </c>
      <c r="D224" s="122"/>
      <c r="E224" s="195" t="s">
        <v>599</v>
      </c>
      <c r="F224" s="42"/>
      <c r="G224" s="180"/>
      <c r="H224" s="4"/>
      <c r="I224" s="13" t="s">
        <v>470</v>
      </c>
      <c r="J224" s="196" t="s">
        <v>600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24.75" customHeight="1">
      <c r="A225" s="119"/>
      <c r="B225" s="167"/>
      <c r="C225" s="168"/>
      <c r="D225" s="122"/>
      <c r="E225" s="197"/>
      <c r="F225" s="42"/>
      <c r="G225" s="180"/>
      <c r="H225" s="4"/>
      <c r="I225" s="13"/>
      <c r="J225" s="19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24.75" customHeight="1">
      <c r="A226" s="21" t="s">
        <v>601</v>
      </c>
      <c r="B226" s="22" t="s">
        <v>56</v>
      </c>
      <c r="C226" s="23" t="s">
        <v>602</v>
      </c>
      <c r="D226" s="24"/>
      <c r="E226" s="153" t="s">
        <v>603</v>
      </c>
      <c r="F226" s="128">
        <v>170.0</v>
      </c>
      <c r="G226" s="186"/>
      <c r="H226" s="190"/>
      <c r="I226" s="191" t="s">
        <v>604</v>
      </c>
      <c r="J226" s="134"/>
      <c r="K226" s="192" t="s">
        <v>47</v>
      </c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</row>
    <row r="227" ht="24.75" customHeight="1">
      <c r="A227" s="30"/>
      <c r="B227" s="198" t="s">
        <v>605</v>
      </c>
      <c r="C227" s="32" t="s">
        <v>602</v>
      </c>
      <c r="D227" s="34"/>
      <c r="E227" s="34" t="s">
        <v>606</v>
      </c>
      <c r="F227" s="42"/>
      <c r="G227" s="138"/>
      <c r="H227" s="52"/>
      <c r="I227" s="52"/>
      <c r="J227" s="52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24.75" customHeight="1">
      <c r="A228" s="30"/>
      <c r="B228" s="31" t="s">
        <v>394</v>
      </c>
      <c r="C228" s="32" t="s">
        <v>602</v>
      </c>
      <c r="D228" s="33"/>
      <c r="E228" s="34" t="s">
        <v>607</v>
      </c>
      <c r="F228" s="42"/>
      <c r="G228" s="138"/>
      <c r="H228" s="52"/>
      <c r="I228" s="38" t="s">
        <v>608</v>
      </c>
      <c r="J228" s="38" t="s">
        <v>609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24.75" customHeight="1">
      <c r="A229" s="30"/>
      <c r="B229" s="31" t="s">
        <v>97</v>
      </c>
      <c r="C229" s="32" t="s">
        <v>602</v>
      </c>
      <c r="D229" s="33"/>
      <c r="E229" s="34" t="s">
        <v>610</v>
      </c>
      <c r="F229" s="42"/>
      <c r="G229" s="138"/>
      <c r="H229" s="52"/>
      <c r="I229" s="52"/>
      <c r="J229" s="52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24.75" customHeight="1">
      <c r="A230" s="30"/>
      <c r="B230" s="31" t="s">
        <v>188</v>
      </c>
      <c r="C230" s="32" t="s">
        <v>602</v>
      </c>
      <c r="D230" s="33"/>
      <c r="E230" s="34" t="s">
        <v>611</v>
      </c>
      <c r="F230" s="42"/>
      <c r="G230" s="138"/>
      <c r="H230" s="52"/>
      <c r="I230" s="38" t="s">
        <v>612</v>
      </c>
      <c r="J230" s="52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24.75" customHeight="1">
      <c r="A231" s="30"/>
      <c r="B231" s="31" t="s">
        <v>71</v>
      </c>
      <c r="C231" s="32" t="s">
        <v>602</v>
      </c>
      <c r="D231" s="33"/>
      <c r="E231" s="34" t="s">
        <v>613</v>
      </c>
      <c r="F231" s="42"/>
      <c r="G231" s="138"/>
      <c r="H231" s="52"/>
      <c r="I231" s="52"/>
      <c r="J231" s="52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24.75" customHeight="1">
      <c r="A232" s="30"/>
      <c r="B232" s="31" t="s">
        <v>527</v>
      </c>
      <c r="C232" s="32" t="s">
        <v>602</v>
      </c>
      <c r="D232" s="33"/>
      <c r="E232" s="34" t="s">
        <v>614</v>
      </c>
      <c r="F232" s="42"/>
      <c r="G232" s="138"/>
      <c r="H232" s="52"/>
      <c r="I232" s="38" t="s">
        <v>615</v>
      </c>
      <c r="J232" s="38" t="s">
        <v>616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24.75" customHeight="1">
      <c r="A233" s="30"/>
      <c r="B233" s="31" t="s">
        <v>93</v>
      </c>
      <c r="C233" s="32" t="s">
        <v>602</v>
      </c>
      <c r="D233" s="33"/>
      <c r="E233" s="34"/>
      <c r="F233" s="42"/>
      <c r="G233" s="138"/>
      <c r="H233" s="52"/>
      <c r="I233" s="52"/>
      <c r="J233" s="52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24.75" customHeight="1">
      <c r="A234" s="30"/>
      <c r="B234" s="31" t="s">
        <v>617</v>
      </c>
      <c r="C234" s="32" t="s">
        <v>602</v>
      </c>
      <c r="D234" s="33"/>
      <c r="E234" s="34" t="s">
        <v>618</v>
      </c>
      <c r="F234" s="42">
        <v>80.0</v>
      </c>
      <c r="G234" s="138"/>
      <c r="H234" s="52"/>
      <c r="I234" s="38" t="s">
        <v>619</v>
      </c>
      <c r="J234" s="38" t="s">
        <v>620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24.75" customHeight="1">
      <c r="A235" s="30"/>
      <c r="B235" s="31"/>
      <c r="C235" s="32"/>
      <c r="D235" s="33"/>
      <c r="E235" s="34"/>
      <c r="F235" s="42"/>
      <c r="G235" s="138"/>
      <c r="H235" s="52"/>
      <c r="I235" s="52"/>
      <c r="J235" s="52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24.75" customHeight="1">
      <c r="A236" s="21" t="s">
        <v>621</v>
      </c>
      <c r="B236" s="175" t="s">
        <v>527</v>
      </c>
      <c r="C236" s="176" t="s">
        <v>622</v>
      </c>
      <c r="D236" s="199"/>
      <c r="E236" s="153" t="s">
        <v>623</v>
      </c>
      <c r="F236" s="200"/>
      <c r="G236" s="199"/>
      <c r="H236" s="199"/>
      <c r="I236" s="201" t="s">
        <v>624</v>
      </c>
      <c r="J236" s="199"/>
      <c r="K236" s="202" t="s">
        <v>47</v>
      </c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</row>
    <row r="237" ht="24.75" customHeight="1">
      <c r="A237" s="204"/>
      <c r="B237" s="40"/>
      <c r="C237" s="41"/>
      <c r="D237" s="205"/>
      <c r="E237" s="205"/>
      <c r="F237" s="204"/>
      <c r="G237" s="205"/>
      <c r="H237" s="205"/>
      <c r="I237" s="52"/>
      <c r="J237" s="205"/>
      <c r="K237" s="206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</row>
    <row r="238" ht="24.75" customHeight="1">
      <c r="A238" s="21" t="s">
        <v>625</v>
      </c>
      <c r="B238" s="22" t="s">
        <v>78</v>
      </c>
      <c r="C238" s="23" t="s">
        <v>626</v>
      </c>
      <c r="D238" s="24"/>
      <c r="E238" s="24" t="s">
        <v>627</v>
      </c>
      <c r="F238" s="144"/>
      <c r="G238" s="186"/>
      <c r="H238" s="134"/>
      <c r="I238" s="134" t="s">
        <v>628</v>
      </c>
      <c r="J238" s="134"/>
      <c r="K238" s="208" t="s">
        <v>47</v>
      </c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ht="24.75" customHeight="1">
      <c r="A239" s="30"/>
      <c r="B239" s="31" t="s">
        <v>527</v>
      </c>
      <c r="C239" s="32" t="s">
        <v>626</v>
      </c>
      <c r="D239" s="34"/>
      <c r="E239" s="34" t="s">
        <v>629</v>
      </c>
      <c r="F239" s="42"/>
      <c r="G239" s="138"/>
      <c r="H239" s="52"/>
      <c r="I239" s="38" t="s">
        <v>630</v>
      </c>
      <c r="J239" s="52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24.75" customHeight="1">
      <c r="A240" s="30"/>
      <c r="B240" s="31" t="s">
        <v>484</v>
      </c>
      <c r="C240" s="32" t="s">
        <v>626</v>
      </c>
      <c r="D240" s="33"/>
      <c r="E240" s="34" t="s">
        <v>631</v>
      </c>
      <c r="F240" s="42"/>
      <c r="G240" s="138"/>
      <c r="H240" s="52"/>
      <c r="I240" s="52" t="s">
        <v>632</v>
      </c>
      <c r="J240" s="52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24.75" customHeight="1">
      <c r="A241" s="30"/>
      <c r="B241" s="31" t="s">
        <v>633</v>
      </c>
      <c r="C241" s="32" t="s">
        <v>626</v>
      </c>
      <c r="D241" s="33"/>
      <c r="E241" s="34" t="s">
        <v>76</v>
      </c>
      <c r="F241" s="42"/>
      <c r="G241" s="138"/>
      <c r="H241" s="52"/>
      <c r="I241" s="52"/>
      <c r="J241" s="52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24.75" customHeight="1">
      <c r="A242" s="30"/>
      <c r="B242" s="31" t="s">
        <v>56</v>
      </c>
      <c r="C242" s="32" t="s">
        <v>626</v>
      </c>
      <c r="D242" s="33"/>
      <c r="E242" s="34" t="s">
        <v>634</v>
      </c>
      <c r="F242" s="42"/>
      <c r="G242" s="138"/>
      <c r="H242" s="52"/>
      <c r="I242" s="52"/>
      <c r="J242" s="52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24.75" customHeight="1">
      <c r="A243" s="30"/>
      <c r="B243" s="31" t="s">
        <v>188</v>
      </c>
      <c r="C243" s="32" t="s">
        <v>362</v>
      </c>
      <c r="D243" s="33"/>
      <c r="E243" s="34" t="s">
        <v>635</v>
      </c>
      <c r="F243" s="35">
        <v>100.0</v>
      </c>
      <c r="G243" s="138"/>
      <c r="H243" s="52"/>
      <c r="I243" s="38" t="s">
        <v>636</v>
      </c>
      <c r="J243" s="52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24.75" customHeight="1">
      <c r="A244" s="30"/>
      <c r="B244" s="40"/>
      <c r="C244" s="41"/>
      <c r="D244" s="33"/>
      <c r="E244" s="33"/>
      <c r="F244" s="42"/>
      <c r="G244" s="138"/>
      <c r="H244" s="52"/>
      <c r="I244" s="52"/>
      <c r="J244" s="52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24.75" customHeight="1">
      <c r="A245" s="209" t="s">
        <v>637</v>
      </c>
      <c r="B245" s="22" t="s">
        <v>78</v>
      </c>
      <c r="C245" s="23" t="s">
        <v>638</v>
      </c>
      <c r="D245" s="24"/>
      <c r="E245" s="153" t="s">
        <v>79</v>
      </c>
      <c r="F245" s="25">
        <v>145.0</v>
      </c>
      <c r="G245" s="177" t="s">
        <v>639</v>
      </c>
      <c r="H245" s="190"/>
      <c r="I245" s="210" t="s">
        <v>640</v>
      </c>
      <c r="J245" s="211" t="s">
        <v>641</v>
      </c>
      <c r="K245" s="208" t="s">
        <v>47</v>
      </c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</row>
    <row r="246" ht="24.75" customHeight="1">
      <c r="A246" s="46" t="s">
        <v>642</v>
      </c>
      <c r="B246" s="31" t="s">
        <v>527</v>
      </c>
      <c r="C246" s="41" t="s">
        <v>638</v>
      </c>
      <c r="D246" s="193"/>
      <c r="E246" s="34" t="s">
        <v>643</v>
      </c>
      <c r="F246" s="42"/>
      <c r="G246" s="212"/>
      <c r="H246" s="38"/>
      <c r="I246" s="38" t="s">
        <v>644</v>
      </c>
      <c r="J246" s="38" t="s">
        <v>645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24.75" customHeight="1">
      <c r="A247" s="30"/>
      <c r="B247" s="31" t="s">
        <v>646</v>
      </c>
      <c r="C247" s="188"/>
      <c r="D247" s="193"/>
      <c r="E247" s="34" t="s">
        <v>647</v>
      </c>
      <c r="F247" s="35">
        <v>170.0</v>
      </c>
      <c r="G247" s="212"/>
      <c r="H247" s="38"/>
      <c r="I247" s="38" t="s">
        <v>648</v>
      </c>
      <c r="J247" s="38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24.75" customHeight="1">
      <c r="A248" s="30"/>
      <c r="B248" s="213"/>
      <c r="C248" s="188"/>
      <c r="D248" s="193"/>
      <c r="E248" s="34"/>
      <c r="F248" s="42"/>
      <c r="G248" s="212"/>
      <c r="H248" s="38"/>
      <c r="I248" s="38" t="s">
        <v>649</v>
      </c>
      <c r="J248" s="52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24.75" customHeight="1">
      <c r="A249" s="21" t="s">
        <v>650</v>
      </c>
      <c r="B249" s="22" t="s">
        <v>78</v>
      </c>
      <c r="C249" s="23" t="s">
        <v>651</v>
      </c>
      <c r="D249" s="24"/>
      <c r="E249" s="24" t="s">
        <v>79</v>
      </c>
      <c r="F249" s="144"/>
      <c r="G249" s="186"/>
      <c r="H249" s="134"/>
      <c r="I249" s="134" t="s">
        <v>652</v>
      </c>
      <c r="J249" s="134"/>
      <c r="K249" s="208" t="s">
        <v>47</v>
      </c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</row>
    <row r="250" ht="24.75" customHeight="1">
      <c r="A250" s="30"/>
      <c r="B250" s="31" t="s">
        <v>527</v>
      </c>
      <c r="C250" s="32" t="s">
        <v>651</v>
      </c>
      <c r="D250" s="33"/>
      <c r="E250" s="34" t="s">
        <v>653</v>
      </c>
      <c r="F250" s="42"/>
      <c r="G250" s="36"/>
      <c r="H250" s="43"/>
      <c r="I250" s="37" t="s">
        <v>654</v>
      </c>
      <c r="J250" s="38" t="s">
        <v>655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24.75" customHeight="1">
      <c r="A251" s="30"/>
      <c r="B251" s="40"/>
      <c r="C251" s="41"/>
      <c r="D251" s="33"/>
      <c r="E251" s="33"/>
      <c r="F251" s="42"/>
      <c r="G251" s="36"/>
      <c r="H251" s="43"/>
      <c r="I251" s="43"/>
      <c r="J251" s="52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24.75" customHeight="1">
      <c r="A252" s="21" t="s">
        <v>656</v>
      </c>
      <c r="B252" s="22" t="s">
        <v>78</v>
      </c>
      <c r="C252" s="23" t="s">
        <v>657</v>
      </c>
      <c r="D252" s="24"/>
      <c r="E252" s="24" t="s">
        <v>658</v>
      </c>
      <c r="F252" s="144"/>
      <c r="G252" s="136"/>
      <c r="H252" s="214"/>
      <c r="I252" s="214" t="s">
        <v>659</v>
      </c>
      <c r="J252" s="134"/>
      <c r="K252" s="208" t="s">
        <v>47</v>
      </c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</row>
    <row r="253" ht="24.75" customHeight="1">
      <c r="A253" s="30"/>
      <c r="B253" s="31" t="s">
        <v>56</v>
      </c>
      <c r="C253" s="32" t="s">
        <v>657</v>
      </c>
      <c r="D253" s="33"/>
      <c r="E253" s="34" t="s">
        <v>354</v>
      </c>
      <c r="F253" s="42"/>
      <c r="G253" s="36"/>
      <c r="H253" s="43"/>
      <c r="I253" s="43"/>
      <c r="J253" s="52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24.75" customHeight="1">
      <c r="A254" s="30"/>
      <c r="B254" s="40"/>
      <c r="C254" s="41"/>
      <c r="D254" s="33"/>
      <c r="E254" s="33"/>
      <c r="F254" s="42"/>
      <c r="G254" s="36"/>
      <c r="H254" s="43"/>
      <c r="I254" s="43"/>
      <c r="J254" s="52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24.75" customHeight="1">
      <c r="A255" s="30"/>
      <c r="B255" s="40"/>
      <c r="C255" s="41"/>
      <c r="D255" s="33"/>
      <c r="E255" s="33"/>
      <c r="F255" s="42"/>
      <c r="G255" s="36"/>
      <c r="H255" s="43"/>
      <c r="I255" s="43"/>
      <c r="J255" s="52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24.75" customHeight="1">
      <c r="A256" s="21" t="s">
        <v>660</v>
      </c>
      <c r="B256" s="22" t="s">
        <v>78</v>
      </c>
      <c r="C256" s="23" t="s">
        <v>661</v>
      </c>
      <c r="D256" s="24"/>
      <c r="E256" s="24" t="s">
        <v>662</v>
      </c>
      <c r="F256" s="128">
        <v>175.0</v>
      </c>
      <c r="G256" s="215"/>
      <c r="H256" s="215"/>
      <c r="I256" s="216" t="s">
        <v>663</v>
      </c>
      <c r="J256" s="217" t="s">
        <v>664</v>
      </c>
      <c r="K256" s="208" t="s">
        <v>47</v>
      </c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</row>
    <row r="257" ht="24.75" customHeight="1">
      <c r="A257" s="30"/>
      <c r="B257" s="31" t="s">
        <v>527</v>
      </c>
      <c r="C257" s="32" t="s">
        <v>661</v>
      </c>
      <c r="E257" s="34" t="s">
        <v>665</v>
      </c>
      <c r="F257" s="35">
        <v>150.0</v>
      </c>
      <c r="G257" s="44"/>
      <c r="H257" s="37"/>
      <c r="I257" s="37" t="s">
        <v>666</v>
      </c>
      <c r="J257" s="31" t="s">
        <v>667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24.75" customHeight="1">
      <c r="A258" s="30"/>
      <c r="B258" s="31" t="s">
        <v>668</v>
      </c>
      <c r="C258" s="32" t="s">
        <v>661</v>
      </c>
      <c r="D258" s="34"/>
      <c r="E258" s="34" t="s">
        <v>669</v>
      </c>
      <c r="F258" s="42"/>
      <c r="G258" s="44"/>
      <c r="H258" s="37"/>
      <c r="I258" s="37" t="s">
        <v>670</v>
      </c>
      <c r="J258" s="38" t="s">
        <v>671</v>
      </c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</row>
    <row r="259" ht="24.75" customHeight="1">
      <c r="A259" s="46"/>
      <c r="B259" s="31" t="s">
        <v>394</v>
      </c>
      <c r="C259" s="32" t="s">
        <v>661</v>
      </c>
      <c r="D259" s="33"/>
      <c r="E259" s="34" t="s">
        <v>672</v>
      </c>
      <c r="F259" s="42"/>
      <c r="G259" s="36"/>
      <c r="H259" s="43"/>
      <c r="I259" s="43"/>
      <c r="J259" s="52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</row>
    <row r="260" ht="24.75" customHeight="1">
      <c r="A260" s="46"/>
      <c r="B260" s="31" t="s">
        <v>188</v>
      </c>
      <c r="C260" s="32" t="s">
        <v>661</v>
      </c>
      <c r="D260" s="33"/>
      <c r="E260" s="34" t="s">
        <v>673</v>
      </c>
      <c r="F260" s="42"/>
      <c r="G260" s="36"/>
      <c r="H260" s="43"/>
      <c r="I260" s="43"/>
      <c r="J260" s="52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</row>
    <row r="261" ht="24.75" customHeight="1">
      <c r="A261" s="46"/>
      <c r="B261" s="31" t="s">
        <v>674</v>
      </c>
      <c r="C261" s="32" t="s">
        <v>661</v>
      </c>
      <c r="D261" s="33"/>
      <c r="E261" s="34" t="s">
        <v>675</v>
      </c>
      <c r="F261" s="42"/>
      <c r="G261" s="36"/>
      <c r="H261" s="43"/>
      <c r="I261" s="43"/>
      <c r="J261" s="52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</row>
    <row r="262" ht="24.75" customHeight="1">
      <c r="A262" s="46"/>
      <c r="B262" s="31" t="s">
        <v>61</v>
      </c>
      <c r="C262" s="32" t="s">
        <v>661</v>
      </c>
      <c r="D262" s="33"/>
      <c r="E262" s="34" t="s">
        <v>676</v>
      </c>
      <c r="F262" s="42"/>
      <c r="G262" s="36"/>
      <c r="H262" s="43"/>
      <c r="I262" s="43"/>
      <c r="J262" s="52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</row>
    <row r="263" ht="24.75" customHeight="1">
      <c r="A263" s="46"/>
      <c r="B263" s="31" t="s">
        <v>81</v>
      </c>
      <c r="C263" s="32" t="s">
        <v>661</v>
      </c>
      <c r="D263" s="33"/>
      <c r="E263" s="34" t="s">
        <v>677</v>
      </c>
      <c r="F263" s="42"/>
      <c r="G263" s="36"/>
      <c r="H263" s="43"/>
      <c r="I263" s="37" t="s">
        <v>678</v>
      </c>
      <c r="J263" s="52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</row>
    <row r="264" ht="24.75" customHeight="1">
      <c r="A264" s="46"/>
      <c r="B264" s="31" t="s">
        <v>247</v>
      </c>
      <c r="C264" s="32" t="s">
        <v>661</v>
      </c>
      <c r="D264" s="33"/>
      <c r="E264" s="34" t="s">
        <v>679</v>
      </c>
      <c r="F264" s="42"/>
      <c r="G264" s="36"/>
      <c r="H264" s="43"/>
      <c r="I264" s="218" t="s">
        <v>680</v>
      </c>
      <c r="J264" s="52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</row>
    <row r="265" ht="24.75" customHeight="1">
      <c r="A265" s="46"/>
      <c r="B265" s="31" t="s">
        <v>681</v>
      </c>
      <c r="C265" s="32" t="s">
        <v>661</v>
      </c>
      <c r="D265" s="33"/>
      <c r="E265" s="34" t="s">
        <v>682</v>
      </c>
      <c r="F265" s="42">
        <v>80.0</v>
      </c>
      <c r="G265" s="44" t="s">
        <v>664</v>
      </c>
      <c r="H265" s="43"/>
      <c r="I265" s="43"/>
      <c r="J265" s="52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</row>
    <row r="266" ht="24.75" customHeight="1">
      <c r="A266" s="46"/>
      <c r="B266" s="31" t="s">
        <v>683</v>
      </c>
      <c r="C266" s="32" t="s">
        <v>661</v>
      </c>
      <c r="D266" s="33"/>
      <c r="E266" s="34" t="s">
        <v>684</v>
      </c>
      <c r="F266" s="42">
        <v>80.0</v>
      </c>
      <c r="G266" s="44"/>
      <c r="H266" s="43"/>
      <c r="I266" s="37" t="s">
        <v>685</v>
      </c>
      <c r="J266" s="38" t="s">
        <v>686</v>
      </c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</row>
    <row r="267" ht="24.75" customHeight="1">
      <c r="A267" s="21" t="s">
        <v>687</v>
      </c>
      <c r="B267" s="22" t="s">
        <v>78</v>
      </c>
      <c r="C267" s="23" t="s">
        <v>688</v>
      </c>
      <c r="D267" s="24"/>
      <c r="E267" s="24" t="s">
        <v>451</v>
      </c>
      <c r="F267" s="144"/>
      <c r="G267" s="136"/>
      <c r="H267" s="137"/>
      <c r="I267" s="137">
        <v>3.05874245E9</v>
      </c>
      <c r="J267" s="134"/>
      <c r="K267" s="208" t="s">
        <v>47</v>
      </c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</row>
    <row r="268" ht="24.75" customHeight="1">
      <c r="A268" s="30"/>
      <c r="B268" s="40"/>
      <c r="C268" s="41"/>
      <c r="D268" s="33"/>
      <c r="E268" s="33"/>
      <c r="F268" s="42"/>
      <c r="G268" s="36"/>
      <c r="H268" s="43"/>
      <c r="I268" s="43"/>
      <c r="J268" s="52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24.75" customHeight="1">
      <c r="A269" s="30"/>
      <c r="B269" s="40"/>
      <c r="C269" s="41"/>
      <c r="D269" s="33"/>
      <c r="E269" s="33"/>
      <c r="F269" s="42"/>
      <c r="G269" s="36"/>
      <c r="H269" s="43"/>
      <c r="I269" s="43"/>
      <c r="J269" s="52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24.75" customHeight="1">
      <c r="A270" s="21" t="s">
        <v>689</v>
      </c>
      <c r="B270" s="22" t="s">
        <v>78</v>
      </c>
      <c r="C270" s="23" t="s">
        <v>690</v>
      </c>
      <c r="D270" s="24"/>
      <c r="E270" s="24" t="s">
        <v>691</v>
      </c>
      <c r="F270" s="144"/>
      <c r="G270" s="136"/>
      <c r="H270" s="137"/>
      <c r="I270" s="137">
        <v>3.055037601E9</v>
      </c>
      <c r="J270" s="134"/>
      <c r="K270" s="208" t="s">
        <v>47</v>
      </c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</row>
    <row r="271" ht="24.75" customHeight="1">
      <c r="A271" s="30"/>
      <c r="B271" s="31" t="s">
        <v>538</v>
      </c>
      <c r="C271" s="32" t="s">
        <v>690</v>
      </c>
      <c r="D271" s="33"/>
      <c r="E271" s="34" t="s">
        <v>692</v>
      </c>
      <c r="F271" s="42"/>
      <c r="G271" s="36"/>
      <c r="H271" s="43"/>
      <c r="I271" s="219" t="s">
        <v>693</v>
      </c>
      <c r="J271" s="220" t="s">
        <v>694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24.75" customHeight="1">
      <c r="A272" s="30"/>
      <c r="B272" s="40"/>
      <c r="C272" s="41"/>
      <c r="D272" s="33"/>
      <c r="E272" s="33"/>
      <c r="F272" s="42"/>
      <c r="G272" s="36"/>
      <c r="H272" s="43"/>
      <c r="I272" s="43"/>
      <c r="J272" s="52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24.75" customHeight="1">
      <c r="A273" s="21" t="s">
        <v>695</v>
      </c>
      <c r="B273" s="22" t="s">
        <v>78</v>
      </c>
      <c r="C273" s="23" t="s">
        <v>696</v>
      </c>
      <c r="D273" s="24"/>
      <c r="E273" s="24" t="s">
        <v>697</v>
      </c>
      <c r="F273" s="144"/>
      <c r="G273" s="221"/>
      <c r="H273" s="222"/>
      <c r="I273" s="222" t="s">
        <v>698</v>
      </c>
      <c r="J273" s="134"/>
      <c r="K273" s="208" t="s">
        <v>47</v>
      </c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</row>
    <row r="274" ht="24.75" customHeight="1">
      <c r="A274" s="30"/>
      <c r="B274" s="40"/>
      <c r="C274" s="41"/>
      <c r="D274" s="33"/>
      <c r="E274" s="33"/>
      <c r="F274" s="42"/>
      <c r="G274" s="36"/>
      <c r="H274" s="37"/>
      <c r="I274" s="43"/>
      <c r="J274" s="52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24.75" customHeight="1">
      <c r="A275" s="30"/>
      <c r="B275" s="40"/>
      <c r="C275" s="41"/>
      <c r="D275" s="33"/>
      <c r="E275" s="33"/>
      <c r="F275" s="42"/>
      <c r="G275" s="36"/>
      <c r="H275" s="43"/>
      <c r="I275" s="43"/>
      <c r="J275" s="52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24.75" customHeight="1">
      <c r="A276" s="21" t="s">
        <v>699</v>
      </c>
      <c r="B276" s="22" t="s">
        <v>78</v>
      </c>
      <c r="C276" s="23" t="s">
        <v>700</v>
      </c>
      <c r="D276" s="24"/>
      <c r="E276" s="24" t="s">
        <v>265</v>
      </c>
      <c r="F276" s="144"/>
      <c r="G276" s="221"/>
      <c r="H276" s="222"/>
      <c r="I276" s="222" t="s">
        <v>701</v>
      </c>
      <c r="J276" s="134"/>
      <c r="K276" s="208" t="s">
        <v>47</v>
      </c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</row>
    <row r="277" ht="24.75" customHeight="1">
      <c r="A277" s="119"/>
      <c r="B277" s="120"/>
      <c r="C277" s="121"/>
      <c r="D277" s="122"/>
      <c r="E277" s="122"/>
      <c r="F277" s="42"/>
      <c r="G277" s="123"/>
      <c r="H277" s="124"/>
      <c r="I277" s="12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24.75" customHeight="1">
      <c r="A278" s="119"/>
      <c r="B278" s="120"/>
      <c r="C278" s="121"/>
      <c r="D278" s="122"/>
      <c r="E278" s="122"/>
      <c r="F278" s="42"/>
      <c r="G278" s="123"/>
      <c r="H278" s="124"/>
      <c r="I278" s="12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24.75" customHeight="1">
      <c r="A279" s="21" t="s">
        <v>702</v>
      </c>
      <c r="B279" s="175" t="s">
        <v>61</v>
      </c>
      <c r="C279" s="176" t="s">
        <v>703</v>
      </c>
      <c r="D279" s="153"/>
      <c r="E279" s="153" t="s">
        <v>454</v>
      </c>
      <c r="F279" s="144"/>
      <c r="G279" s="223"/>
      <c r="H279" s="224"/>
      <c r="I279" s="224" t="s">
        <v>455</v>
      </c>
      <c r="J279" s="13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24.75" customHeight="1">
      <c r="A280" s="30"/>
      <c r="B280" s="31" t="s">
        <v>65</v>
      </c>
      <c r="C280" s="32" t="s">
        <v>703</v>
      </c>
      <c r="D280" s="34"/>
      <c r="E280" s="34" t="s">
        <v>704</v>
      </c>
      <c r="F280" s="42"/>
      <c r="G280" s="48"/>
      <c r="H280" s="50"/>
      <c r="I280" s="50" t="s">
        <v>705</v>
      </c>
      <c r="J280" s="52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</row>
    <row r="281" ht="24.75" customHeight="1">
      <c r="A281" s="46"/>
      <c r="B281" s="31"/>
      <c r="C281" s="41"/>
      <c r="D281" s="34"/>
      <c r="E281" s="34"/>
      <c r="F281" s="42"/>
      <c r="G281" s="48"/>
      <c r="H281" s="50"/>
      <c r="I281" s="50"/>
      <c r="J281" s="52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24.75" customHeight="1">
      <c r="A282" s="46"/>
      <c r="B282" s="31"/>
      <c r="C282" s="41"/>
      <c r="D282" s="34"/>
      <c r="E282" s="34"/>
      <c r="F282" s="42"/>
      <c r="G282" s="48"/>
      <c r="H282" s="50"/>
      <c r="I282" s="50"/>
      <c r="J282" s="52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24.75" customHeight="1">
      <c r="A283" s="21" t="s">
        <v>706</v>
      </c>
      <c r="B283" s="175" t="s">
        <v>61</v>
      </c>
      <c r="C283" s="176" t="s">
        <v>707</v>
      </c>
      <c r="D283" s="153"/>
      <c r="E283" s="153" t="s">
        <v>454</v>
      </c>
      <c r="F283" s="144"/>
      <c r="G283" s="223"/>
      <c r="H283" s="224"/>
      <c r="I283" s="224" t="s">
        <v>708</v>
      </c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</row>
    <row r="284" ht="24.75" customHeight="1">
      <c r="A284" s="30"/>
      <c r="B284" s="31" t="s">
        <v>65</v>
      </c>
      <c r="C284" s="32" t="s">
        <v>707</v>
      </c>
      <c r="D284" s="34"/>
      <c r="E284" s="34" t="s">
        <v>709</v>
      </c>
      <c r="F284" s="35">
        <v>90.0</v>
      </c>
      <c r="G284" s="44"/>
      <c r="H284" s="225" t="s">
        <v>710</v>
      </c>
      <c r="I284" s="37" t="s">
        <v>711</v>
      </c>
      <c r="J284" s="52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24.75" customHeight="1">
      <c r="A285" s="30"/>
      <c r="B285" s="31" t="s">
        <v>56</v>
      </c>
      <c r="C285" s="32" t="s">
        <v>707</v>
      </c>
      <c r="D285" s="33"/>
      <c r="E285" s="34" t="s">
        <v>712</v>
      </c>
      <c r="F285" s="42"/>
      <c r="G285" s="36"/>
      <c r="H285" s="43"/>
      <c r="I285" s="37" t="s">
        <v>713</v>
      </c>
      <c r="J285" s="38" t="s">
        <v>714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24.75" customHeight="1">
      <c r="A286" s="30"/>
      <c r="B286" s="31" t="s">
        <v>527</v>
      </c>
      <c r="C286" s="32" t="s">
        <v>707</v>
      </c>
      <c r="D286" s="33"/>
      <c r="E286" s="34" t="s">
        <v>709</v>
      </c>
      <c r="F286" s="35">
        <v>205.0</v>
      </c>
      <c r="G286" s="36"/>
      <c r="H286" s="43"/>
      <c r="I286" s="37" t="s">
        <v>392</v>
      </c>
      <c r="J286" s="38" t="s">
        <v>715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24.75" customHeight="1">
      <c r="A287" s="30"/>
      <c r="B287" s="40"/>
      <c r="C287" s="41"/>
      <c r="D287" s="33"/>
      <c r="E287" s="33"/>
      <c r="F287" s="42"/>
      <c r="G287" s="36"/>
      <c r="H287" s="43"/>
      <c r="I287" s="43"/>
      <c r="J287" s="52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24.75" customHeight="1">
      <c r="A288" s="21" t="s">
        <v>716</v>
      </c>
      <c r="B288" s="175" t="s">
        <v>61</v>
      </c>
      <c r="C288" s="23"/>
      <c r="D288" s="153"/>
      <c r="E288" s="153" t="s">
        <v>717</v>
      </c>
      <c r="F288" s="144"/>
      <c r="G288" s="223"/>
      <c r="H288" s="224"/>
      <c r="I288" s="224" t="s">
        <v>718</v>
      </c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</row>
    <row r="289" ht="24.75" customHeight="1">
      <c r="A289" s="30"/>
      <c r="B289" s="40"/>
      <c r="C289" s="41"/>
      <c r="D289" s="33"/>
      <c r="E289" s="33"/>
      <c r="F289" s="42"/>
      <c r="G289" s="36"/>
      <c r="H289" s="43"/>
      <c r="I289" s="43"/>
      <c r="J289" s="52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24.75" customHeight="1">
      <c r="A290" s="30"/>
      <c r="B290" s="40"/>
      <c r="C290" s="41"/>
      <c r="D290" s="33"/>
      <c r="E290" s="33"/>
      <c r="F290" s="42"/>
      <c r="G290" s="36"/>
      <c r="H290" s="43"/>
      <c r="I290" s="43"/>
      <c r="J290" s="52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24.75" customHeight="1">
      <c r="A291" s="21" t="s">
        <v>719</v>
      </c>
      <c r="B291" s="175" t="s">
        <v>65</v>
      </c>
      <c r="C291" s="23"/>
      <c r="D291" s="153"/>
      <c r="E291" s="153" t="s">
        <v>704</v>
      </c>
      <c r="F291" s="144"/>
      <c r="G291" s="223"/>
      <c r="H291" s="224"/>
      <c r="I291" s="224" t="s">
        <v>720</v>
      </c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</row>
    <row r="292" ht="24.75" customHeight="1">
      <c r="A292" s="119"/>
      <c r="B292" s="120"/>
      <c r="C292" s="121"/>
      <c r="D292" s="226"/>
      <c r="E292" s="226"/>
      <c r="F292" s="42"/>
      <c r="G292" s="227"/>
      <c r="H292" s="228"/>
      <c r="I292" s="2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24.75" customHeight="1">
      <c r="A293" s="119"/>
      <c r="B293" s="120"/>
      <c r="C293" s="121"/>
      <c r="D293" s="226"/>
      <c r="E293" s="226"/>
      <c r="F293" s="42"/>
      <c r="G293" s="227"/>
      <c r="H293" s="228"/>
      <c r="I293" s="2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24.75" customHeight="1">
      <c r="A294" s="21" t="s">
        <v>721</v>
      </c>
      <c r="B294" s="22" t="s">
        <v>40</v>
      </c>
      <c r="C294" s="23" t="s">
        <v>722</v>
      </c>
      <c r="D294" s="24"/>
      <c r="E294" s="24" t="s">
        <v>723</v>
      </c>
      <c r="F294" s="144"/>
      <c r="G294" s="136"/>
      <c r="H294" s="137"/>
      <c r="I294" s="137" t="s">
        <v>724</v>
      </c>
      <c r="J294" s="134"/>
      <c r="K294" s="13" t="s">
        <v>47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24.75" customHeight="1">
      <c r="A295" s="119"/>
      <c r="B295" s="120"/>
      <c r="C295" s="121"/>
      <c r="D295" s="226"/>
      <c r="E295" s="226"/>
      <c r="F295" s="42"/>
      <c r="G295" s="123"/>
      <c r="H295" s="124"/>
      <c r="I295" s="12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24.75" customHeight="1">
      <c r="A296" s="119"/>
      <c r="B296" s="120"/>
      <c r="C296" s="121"/>
      <c r="D296" s="122"/>
      <c r="E296" s="122"/>
      <c r="F296" s="42"/>
      <c r="G296" s="123"/>
      <c r="H296" s="124"/>
      <c r="I296" s="12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24.75" customHeight="1">
      <c r="A297" s="21" t="s">
        <v>725</v>
      </c>
      <c r="B297" s="22" t="s">
        <v>40</v>
      </c>
      <c r="C297" s="23" t="s">
        <v>726</v>
      </c>
      <c r="D297" s="24"/>
      <c r="E297" s="24" t="s">
        <v>727</v>
      </c>
      <c r="F297" s="144"/>
      <c r="G297" s="136"/>
      <c r="H297" s="137"/>
      <c r="I297" s="137" t="s">
        <v>437</v>
      </c>
      <c r="J297" s="134"/>
      <c r="K297" s="13" t="s">
        <v>47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24.75" customHeight="1">
      <c r="A298" s="30"/>
      <c r="B298" s="40" t="s">
        <v>78</v>
      </c>
      <c r="C298" s="41" t="s">
        <v>726</v>
      </c>
      <c r="D298" s="33"/>
      <c r="E298" s="33" t="s">
        <v>79</v>
      </c>
      <c r="F298" s="42"/>
      <c r="G298" s="138"/>
      <c r="H298" s="52"/>
      <c r="I298" s="52" t="s">
        <v>652</v>
      </c>
      <c r="J298" s="52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</row>
    <row r="299" ht="24.75" customHeight="1">
      <c r="A299" s="119"/>
      <c r="B299" s="120"/>
      <c r="C299" s="121"/>
      <c r="D299" s="122"/>
      <c r="E299" s="122"/>
      <c r="F299" s="42"/>
      <c r="G299" s="123"/>
      <c r="H299" s="124"/>
      <c r="I299" s="12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27.75" customHeight="1">
      <c r="A300" s="104"/>
      <c r="B300" s="125"/>
      <c r="C300" s="126"/>
      <c r="D300" s="104"/>
      <c r="E300" s="104"/>
      <c r="F300" s="42"/>
      <c r="G300" s="127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</row>
    <row r="301" ht="24.75" customHeight="1">
      <c r="A301" s="21" t="s">
        <v>728</v>
      </c>
      <c r="B301" s="22" t="s">
        <v>40</v>
      </c>
      <c r="C301" s="23" t="s">
        <v>729</v>
      </c>
      <c r="D301" s="24"/>
      <c r="E301" s="153" t="s">
        <v>730</v>
      </c>
      <c r="F301" s="144"/>
      <c r="G301" s="136"/>
      <c r="H301" s="28" t="s">
        <v>731</v>
      </c>
      <c r="I301" s="28" t="s">
        <v>732</v>
      </c>
      <c r="J301" s="134"/>
      <c r="K301" s="13" t="s">
        <v>47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24.75" customHeight="1">
      <c r="A302" s="119"/>
      <c r="B302" s="167" t="s">
        <v>456</v>
      </c>
      <c r="C302" s="168" t="s">
        <v>729</v>
      </c>
      <c r="D302" s="169"/>
      <c r="E302" s="169" t="s">
        <v>733</v>
      </c>
      <c r="F302" s="42"/>
      <c r="G302" s="229"/>
      <c r="H302" s="230" t="s">
        <v>734</v>
      </c>
      <c r="I302" s="231" t="s">
        <v>735</v>
      </c>
      <c r="J302" s="13" t="s">
        <v>734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28.5" customHeight="1">
      <c r="A303" s="104"/>
      <c r="B303" s="167" t="s">
        <v>61</v>
      </c>
      <c r="C303" s="168" t="s">
        <v>736</v>
      </c>
      <c r="D303" s="104"/>
      <c r="E303" s="169" t="s">
        <v>737</v>
      </c>
      <c r="F303" s="42"/>
      <c r="G303" s="127"/>
      <c r="H303" s="104"/>
      <c r="I303" s="232" t="s">
        <v>738</v>
      </c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</row>
    <row r="304" ht="24.75" customHeight="1">
      <c r="A304" s="117"/>
      <c r="B304" s="167" t="s">
        <v>633</v>
      </c>
      <c r="C304" s="168" t="s">
        <v>729</v>
      </c>
      <c r="D304" s="169"/>
      <c r="E304" s="169" t="s">
        <v>733</v>
      </c>
      <c r="F304" s="42"/>
      <c r="G304" s="44"/>
      <c r="H304" s="37"/>
      <c r="I304" s="3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24.75" customHeight="1">
      <c r="A305" s="117"/>
      <c r="B305" s="167" t="s">
        <v>739</v>
      </c>
      <c r="C305" s="168" t="s">
        <v>729</v>
      </c>
      <c r="D305" s="169"/>
      <c r="E305" s="169" t="s">
        <v>740</v>
      </c>
      <c r="F305" s="42"/>
      <c r="G305" s="44"/>
      <c r="H305" s="37"/>
      <c r="I305" s="3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24.75" customHeight="1">
      <c r="A306" s="117"/>
      <c r="B306" s="167" t="s">
        <v>741</v>
      </c>
      <c r="C306" s="168" t="s">
        <v>729</v>
      </c>
      <c r="D306" s="169"/>
      <c r="E306" s="169" t="s">
        <v>742</v>
      </c>
      <c r="F306" s="42"/>
      <c r="G306" s="44"/>
      <c r="H306" s="37" t="s">
        <v>743</v>
      </c>
      <c r="I306" s="37" t="s">
        <v>744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24.75" customHeight="1">
      <c r="A307" s="117"/>
      <c r="B307" s="167"/>
      <c r="C307" s="168"/>
      <c r="D307" s="169"/>
      <c r="E307" s="169"/>
      <c r="F307" s="42"/>
      <c r="G307" s="44"/>
      <c r="H307" s="37"/>
      <c r="I307" s="3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24.75" customHeight="1">
      <c r="A308" s="233" t="s">
        <v>745</v>
      </c>
      <c r="B308" s="175" t="s">
        <v>40</v>
      </c>
      <c r="C308" s="176" t="s">
        <v>746</v>
      </c>
      <c r="D308" s="153"/>
      <c r="E308" s="153" t="s">
        <v>747</v>
      </c>
      <c r="F308" s="144"/>
      <c r="G308" s="26"/>
      <c r="H308" s="28"/>
      <c r="I308" s="28" t="s">
        <v>748</v>
      </c>
      <c r="J308" s="134"/>
      <c r="K308" s="13" t="s">
        <v>47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24.75" customHeight="1">
      <c r="A309" s="30"/>
      <c r="B309" s="31" t="s">
        <v>65</v>
      </c>
      <c r="C309" s="32" t="s">
        <v>746</v>
      </c>
      <c r="D309" s="34"/>
      <c r="E309" s="34" t="s">
        <v>704</v>
      </c>
      <c r="F309" s="42"/>
      <c r="G309" s="48"/>
      <c r="H309" s="50"/>
      <c r="I309" s="50" t="s">
        <v>749</v>
      </c>
      <c r="J309" s="52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</row>
    <row r="310" ht="24.75" customHeight="1">
      <c r="A310" s="119"/>
      <c r="B310" s="120"/>
      <c r="C310" s="121"/>
      <c r="D310" s="122"/>
      <c r="E310" s="122"/>
      <c r="F310" s="42"/>
      <c r="G310" s="123"/>
      <c r="H310" s="124"/>
      <c r="I310" s="12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24.75" customHeight="1">
      <c r="A311" s="119"/>
      <c r="B311" s="120"/>
      <c r="C311" s="121"/>
      <c r="D311" s="122"/>
      <c r="E311" s="122"/>
      <c r="F311" s="42"/>
      <c r="G311" s="123"/>
      <c r="H311" s="124"/>
      <c r="I311" s="12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24.75" customHeight="1">
      <c r="A312" s="21" t="s">
        <v>750</v>
      </c>
      <c r="B312" s="22" t="s">
        <v>40</v>
      </c>
      <c r="C312" s="23" t="s">
        <v>751</v>
      </c>
      <c r="D312" s="24"/>
      <c r="E312" s="24" t="s">
        <v>647</v>
      </c>
      <c r="F312" s="144"/>
      <c r="G312" s="136"/>
      <c r="H312" s="137"/>
      <c r="I312" s="137" t="s">
        <v>752</v>
      </c>
      <c r="J312" s="134"/>
      <c r="K312" s="13" t="s">
        <v>47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24.75" customHeight="1">
      <c r="A313" s="119"/>
      <c r="B313" s="120"/>
      <c r="C313" s="121"/>
      <c r="D313" s="122"/>
      <c r="E313" s="122"/>
      <c r="F313" s="42"/>
      <c r="G313" s="123"/>
      <c r="H313" s="124"/>
      <c r="I313" s="12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24.75" customHeight="1">
      <c r="A314" s="119"/>
      <c r="B314" s="120"/>
      <c r="C314" s="121"/>
      <c r="D314" s="122"/>
      <c r="E314" s="122"/>
      <c r="F314" s="42"/>
      <c r="G314" s="123"/>
      <c r="H314" s="124"/>
      <c r="I314" s="12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24.75" customHeight="1">
      <c r="A315" s="21" t="s">
        <v>753</v>
      </c>
      <c r="B315" s="22" t="s">
        <v>40</v>
      </c>
      <c r="C315" s="23" t="s">
        <v>707</v>
      </c>
      <c r="D315" s="24"/>
      <c r="E315" s="153" t="s">
        <v>709</v>
      </c>
      <c r="F315" s="144"/>
      <c r="G315" s="136"/>
      <c r="H315" s="137"/>
      <c r="I315" s="137" t="s">
        <v>754</v>
      </c>
      <c r="J315" s="134"/>
      <c r="K315" s="13" t="s">
        <v>47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24.75" customHeight="1">
      <c r="A316" s="119"/>
      <c r="B316" s="167" t="s">
        <v>56</v>
      </c>
      <c r="C316" s="168" t="s">
        <v>707</v>
      </c>
      <c r="D316" s="226"/>
      <c r="E316" s="234" t="s">
        <v>712</v>
      </c>
      <c r="F316" s="42"/>
      <c r="G316" s="123"/>
      <c r="H316" s="124"/>
      <c r="I316" s="170" t="s">
        <v>755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24.75" customHeight="1">
      <c r="A317" s="119"/>
      <c r="B317" s="167" t="s">
        <v>756</v>
      </c>
      <c r="C317" s="168" t="s">
        <v>707</v>
      </c>
      <c r="D317" s="226"/>
      <c r="E317" s="234" t="s">
        <v>757</v>
      </c>
      <c r="F317" s="42"/>
      <c r="G317" s="123"/>
      <c r="H317" s="124"/>
      <c r="I317" s="12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24.75" customHeight="1">
      <c r="A318" s="119"/>
      <c r="B318" s="120"/>
      <c r="C318" s="121"/>
      <c r="D318" s="226"/>
      <c r="E318" s="226"/>
      <c r="F318" s="42"/>
      <c r="G318" s="123"/>
      <c r="H318" s="124"/>
      <c r="I318" s="12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24.75" customHeight="1">
      <c r="A319" s="119"/>
      <c r="B319" s="120"/>
      <c r="C319" s="121"/>
      <c r="D319" s="226"/>
      <c r="E319" s="226"/>
      <c r="F319" s="42"/>
      <c r="G319" s="123"/>
      <c r="H319" s="124"/>
      <c r="I319" s="12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24.75" customHeight="1">
      <c r="A320" s="21" t="s">
        <v>758</v>
      </c>
      <c r="B320" s="175" t="s">
        <v>78</v>
      </c>
      <c r="C320" s="176"/>
      <c r="D320" s="235"/>
      <c r="E320" s="235" t="s">
        <v>153</v>
      </c>
      <c r="F320" s="144"/>
      <c r="G320" s="26"/>
      <c r="H320" s="28"/>
      <c r="I320" s="28" t="s">
        <v>759</v>
      </c>
      <c r="J320" s="13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24.75" customHeight="1">
      <c r="A321" s="119"/>
      <c r="B321" s="120"/>
      <c r="C321" s="121"/>
      <c r="D321" s="226"/>
      <c r="E321" s="226"/>
      <c r="F321" s="42"/>
      <c r="G321" s="123"/>
      <c r="H321" s="124"/>
      <c r="I321" s="12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24.75" customHeight="1">
      <c r="A322" s="119"/>
      <c r="B322" s="120"/>
      <c r="C322" s="121"/>
      <c r="D322" s="226"/>
      <c r="E322" s="226"/>
      <c r="F322" s="42"/>
      <c r="G322" s="123"/>
      <c r="H322" s="124"/>
      <c r="I322" s="12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24.75" customHeight="1">
      <c r="A323" s="21" t="s">
        <v>760</v>
      </c>
      <c r="B323" s="175" t="s">
        <v>527</v>
      </c>
      <c r="C323" s="176" t="s">
        <v>761</v>
      </c>
      <c r="D323" s="236"/>
      <c r="E323" s="235" t="s">
        <v>762</v>
      </c>
      <c r="F323" s="144"/>
      <c r="G323" s="26"/>
      <c r="H323" s="28"/>
      <c r="I323" s="28" t="s">
        <v>763</v>
      </c>
      <c r="J323" s="29" t="s">
        <v>764</v>
      </c>
      <c r="K323" s="13" t="s">
        <v>47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24.75" customHeight="1">
      <c r="A324" s="46"/>
      <c r="B324" s="31" t="s">
        <v>65</v>
      </c>
      <c r="C324" s="32"/>
      <c r="D324" s="237"/>
      <c r="E324" s="237" t="s">
        <v>765</v>
      </c>
      <c r="F324" s="42"/>
      <c r="G324" s="44"/>
      <c r="H324" s="104"/>
      <c r="I324" s="238" t="s">
        <v>766</v>
      </c>
      <c r="J324" s="37" t="s">
        <v>767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24.75" customHeight="1">
      <c r="A325" s="46"/>
      <c r="B325" s="31" t="s">
        <v>370</v>
      </c>
      <c r="C325" s="32"/>
      <c r="D325" s="237"/>
      <c r="E325" s="237" t="s">
        <v>588</v>
      </c>
      <c r="F325" s="42"/>
      <c r="G325" s="44"/>
      <c r="H325" s="37"/>
      <c r="I325" s="13" t="s">
        <v>589</v>
      </c>
      <c r="J325" s="38" t="s">
        <v>768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24.75" customHeight="1">
      <c r="A326" s="46"/>
      <c r="B326" s="31"/>
      <c r="C326" s="32"/>
      <c r="D326" s="237"/>
      <c r="E326" s="237"/>
      <c r="F326" s="42"/>
      <c r="G326" s="44"/>
      <c r="H326" s="37"/>
      <c r="I326" s="37"/>
      <c r="J326" s="38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24.75" customHeight="1">
      <c r="A327" s="21" t="s">
        <v>769</v>
      </c>
      <c r="B327" s="175" t="s">
        <v>61</v>
      </c>
      <c r="C327" s="176" t="s">
        <v>770</v>
      </c>
      <c r="D327" s="235"/>
      <c r="E327" s="235" t="s">
        <v>454</v>
      </c>
      <c r="F327" s="144"/>
      <c r="G327" s="26"/>
      <c r="H327" s="28"/>
      <c r="I327" s="28" t="s">
        <v>771</v>
      </c>
      <c r="J327" s="29" t="s">
        <v>169</v>
      </c>
      <c r="K327" s="13" t="s">
        <v>47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24.75" customHeight="1">
      <c r="A328" s="239"/>
      <c r="B328" s="167" t="s">
        <v>65</v>
      </c>
      <c r="C328" s="168" t="s">
        <v>770</v>
      </c>
      <c r="D328" s="234"/>
      <c r="E328" s="234" t="s">
        <v>772</v>
      </c>
      <c r="F328" s="42"/>
      <c r="G328" s="171"/>
      <c r="H328" s="170"/>
      <c r="I328" s="170" t="s">
        <v>773</v>
      </c>
      <c r="J328" s="13" t="s">
        <v>774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24.75" customHeight="1">
      <c r="A329" s="119"/>
      <c r="B329" s="167" t="s">
        <v>297</v>
      </c>
      <c r="C329" s="121"/>
      <c r="D329" s="226"/>
      <c r="E329" s="234" t="s">
        <v>775</v>
      </c>
      <c r="F329" s="42"/>
      <c r="G329" s="123"/>
      <c r="H329" s="124"/>
      <c r="I329" s="240" t="s">
        <v>184</v>
      </c>
      <c r="J329" s="13" t="s">
        <v>776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24.75" customHeight="1">
      <c r="A330" s="119"/>
      <c r="B330" s="120"/>
      <c r="C330" s="121"/>
      <c r="D330" s="226"/>
      <c r="E330" s="226"/>
      <c r="F330" s="42"/>
      <c r="G330" s="123"/>
      <c r="H330" s="124"/>
      <c r="I330" s="12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24.75" customHeight="1">
      <c r="A331" s="21" t="s">
        <v>777</v>
      </c>
      <c r="B331" s="175" t="s">
        <v>527</v>
      </c>
      <c r="C331" s="176" t="s">
        <v>487</v>
      </c>
      <c r="D331" s="235"/>
      <c r="E331" s="235" t="s">
        <v>488</v>
      </c>
      <c r="F331" s="144"/>
      <c r="G331" s="26"/>
      <c r="H331" s="28"/>
      <c r="I331" s="28" t="s">
        <v>778</v>
      </c>
      <c r="J331" s="134"/>
      <c r="K331" s="13" t="s">
        <v>477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24.75" customHeight="1">
      <c r="A332" s="119"/>
      <c r="B332" s="167" t="s">
        <v>61</v>
      </c>
      <c r="C332" s="168" t="s">
        <v>487</v>
      </c>
      <c r="D332" s="226"/>
      <c r="E332" s="234" t="s">
        <v>454</v>
      </c>
      <c r="F332" s="42"/>
      <c r="G332" s="123"/>
      <c r="H332" s="124"/>
      <c r="I332" s="12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24.75" customHeight="1">
      <c r="A333" s="119"/>
      <c r="B333" s="167" t="s">
        <v>78</v>
      </c>
      <c r="C333" s="168" t="s">
        <v>487</v>
      </c>
      <c r="D333" s="226"/>
      <c r="E333" s="234" t="s">
        <v>79</v>
      </c>
      <c r="F333" s="42"/>
      <c r="G333" s="123"/>
      <c r="H333" s="124"/>
      <c r="I333" s="12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24.75" customHeight="1">
      <c r="A334" s="119"/>
      <c r="B334" s="167" t="s">
        <v>273</v>
      </c>
      <c r="C334" s="168" t="s">
        <v>487</v>
      </c>
      <c r="D334" s="226"/>
      <c r="E334" s="234" t="s">
        <v>779</v>
      </c>
      <c r="F334" s="35">
        <v>120.0</v>
      </c>
      <c r="G334" s="123"/>
      <c r="H334" s="124"/>
      <c r="I334" s="12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24.75" customHeight="1">
      <c r="A335" s="119"/>
      <c r="B335" s="120"/>
      <c r="C335" s="121"/>
      <c r="D335" s="226"/>
      <c r="E335" s="226"/>
      <c r="F335" s="42"/>
      <c r="G335" s="123"/>
      <c r="H335" s="124"/>
      <c r="I335" s="12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28.5" customHeight="1">
      <c r="A336" s="21" t="s">
        <v>780</v>
      </c>
      <c r="B336" s="175" t="s">
        <v>527</v>
      </c>
      <c r="C336" s="176" t="s">
        <v>781</v>
      </c>
      <c r="D336" s="235"/>
      <c r="E336" s="235" t="s">
        <v>482</v>
      </c>
      <c r="F336" s="128">
        <v>130.0</v>
      </c>
      <c r="G336" s="26" t="s">
        <v>782</v>
      </c>
      <c r="H336" s="28"/>
      <c r="I336" s="28" t="s">
        <v>783</v>
      </c>
      <c r="J336" s="29" t="s">
        <v>784</v>
      </c>
      <c r="K336" s="13" t="s">
        <v>477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24.75" customHeight="1">
      <c r="A337" s="119"/>
      <c r="B337" s="167" t="s">
        <v>61</v>
      </c>
      <c r="C337" s="168" t="s">
        <v>781</v>
      </c>
      <c r="D337" s="226"/>
      <c r="E337" s="234" t="s">
        <v>454</v>
      </c>
      <c r="F337" s="42"/>
      <c r="G337" s="123"/>
      <c r="H337" s="124"/>
      <c r="I337" s="12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24.75" customHeight="1">
      <c r="A338" s="119"/>
      <c r="B338" s="167" t="s">
        <v>56</v>
      </c>
      <c r="C338" s="168" t="s">
        <v>781</v>
      </c>
      <c r="D338" s="226"/>
      <c r="E338" s="234" t="s">
        <v>785</v>
      </c>
      <c r="F338" s="42"/>
      <c r="G338" s="123"/>
      <c r="H338" s="124"/>
      <c r="I338" s="12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24.75" customHeight="1">
      <c r="A339" s="119"/>
      <c r="B339" s="167" t="s">
        <v>786</v>
      </c>
      <c r="C339" s="168" t="s">
        <v>781</v>
      </c>
      <c r="D339" s="226"/>
      <c r="E339" s="234" t="s">
        <v>787</v>
      </c>
      <c r="F339" s="35">
        <v>100.0</v>
      </c>
      <c r="G339" s="171" t="s">
        <v>788</v>
      </c>
      <c r="H339" s="124"/>
      <c r="I339" s="170" t="s">
        <v>789</v>
      </c>
      <c r="J339" s="13" t="s">
        <v>790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24.75" customHeight="1">
      <c r="A340" s="119"/>
      <c r="B340" s="167" t="s">
        <v>280</v>
      </c>
      <c r="C340" s="168" t="s">
        <v>781</v>
      </c>
      <c r="D340" s="226"/>
      <c r="E340" s="234" t="s">
        <v>682</v>
      </c>
      <c r="F340" s="35">
        <v>80.0</v>
      </c>
      <c r="G340" s="171"/>
      <c r="H340" s="124"/>
      <c r="I340" s="170" t="s">
        <v>791</v>
      </c>
      <c r="J340" s="1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24.75" customHeight="1">
      <c r="A341" s="119"/>
      <c r="B341" s="167" t="s">
        <v>792</v>
      </c>
      <c r="E341" s="234" t="s">
        <v>793</v>
      </c>
      <c r="F341" s="35"/>
      <c r="G341" s="171"/>
      <c r="H341" s="124"/>
      <c r="I341" s="170" t="s">
        <v>794</v>
      </c>
      <c r="J341" s="1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28.5" customHeight="1">
      <c r="A342" s="21" t="s">
        <v>795</v>
      </c>
      <c r="B342" s="175" t="s">
        <v>65</v>
      </c>
      <c r="C342" s="176" t="s">
        <v>781</v>
      </c>
      <c r="D342" s="235"/>
      <c r="E342" s="235" t="s">
        <v>485</v>
      </c>
      <c r="F342" s="144"/>
      <c r="G342" s="26"/>
      <c r="H342" s="28"/>
      <c r="I342" s="28" t="s">
        <v>796</v>
      </c>
      <c r="J342" s="29" t="s">
        <v>797</v>
      </c>
      <c r="K342" s="13" t="s">
        <v>477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24.75" customHeight="1">
      <c r="A343" s="119"/>
      <c r="B343" s="167"/>
      <c r="C343" s="168"/>
      <c r="D343" s="226"/>
      <c r="E343" s="234"/>
      <c r="F343" s="42"/>
      <c r="G343" s="123"/>
      <c r="H343" s="124"/>
      <c r="I343" s="12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24.75" customHeight="1">
      <c r="A344" s="119"/>
      <c r="B344" s="167"/>
      <c r="C344" s="168"/>
      <c r="D344" s="226"/>
      <c r="E344" s="234"/>
      <c r="F344" s="42"/>
      <c r="G344" s="123"/>
      <c r="H344" s="124"/>
      <c r="I344" s="12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24.75" customHeight="1">
      <c r="A345" s="119"/>
      <c r="B345" s="120"/>
      <c r="C345" s="121"/>
      <c r="D345" s="226"/>
      <c r="E345" s="226"/>
      <c r="F345" s="42"/>
      <c r="G345" s="123"/>
      <c r="H345" s="124"/>
      <c r="I345" s="12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24.75" customHeight="1">
      <c r="A346" s="119"/>
      <c r="B346" s="120"/>
      <c r="C346" s="121"/>
      <c r="D346" s="226"/>
      <c r="E346" s="226"/>
      <c r="F346" s="42"/>
      <c r="G346" s="123"/>
      <c r="H346" s="124"/>
      <c r="I346" s="12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24.75" customHeight="1">
      <c r="A347" s="21" t="s">
        <v>798</v>
      </c>
      <c r="B347" s="175" t="s">
        <v>527</v>
      </c>
      <c r="C347" s="23"/>
      <c r="D347" s="235"/>
      <c r="E347" s="235" t="s">
        <v>799</v>
      </c>
      <c r="F347" s="144"/>
      <c r="G347" s="136"/>
      <c r="H347" s="137"/>
      <c r="I347" s="137"/>
      <c r="J347" s="13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24.75" customHeight="1">
      <c r="A348" s="119"/>
      <c r="B348" s="120"/>
      <c r="C348" s="121"/>
      <c r="D348" s="226"/>
      <c r="E348" s="226"/>
      <c r="F348" s="42"/>
      <c r="G348" s="123"/>
      <c r="H348" s="124"/>
      <c r="I348" s="12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24.75" customHeight="1">
      <c r="A349" s="119"/>
      <c r="B349" s="120"/>
      <c r="C349" s="121"/>
      <c r="D349" s="226"/>
      <c r="E349" s="226"/>
      <c r="F349" s="42"/>
      <c r="G349" s="123"/>
      <c r="H349" s="124"/>
      <c r="I349" s="12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24.75" customHeight="1">
      <c r="A350" s="21" t="s">
        <v>800</v>
      </c>
      <c r="B350" s="175" t="s">
        <v>78</v>
      </c>
      <c r="C350" s="176" t="s">
        <v>657</v>
      </c>
      <c r="D350" s="236"/>
      <c r="E350" s="235" t="s">
        <v>658</v>
      </c>
      <c r="F350" s="144"/>
      <c r="G350" s="136"/>
      <c r="H350" s="137"/>
      <c r="I350" s="28"/>
      <c r="J350" s="134"/>
      <c r="K350" s="13" t="s">
        <v>477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24.75" customHeight="1">
      <c r="A351" s="119"/>
      <c r="B351" s="167" t="s">
        <v>56</v>
      </c>
      <c r="C351" s="168" t="s">
        <v>657</v>
      </c>
      <c r="D351" s="226"/>
      <c r="E351" s="234" t="s">
        <v>354</v>
      </c>
      <c r="F351" s="42"/>
      <c r="G351" s="123"/>
      <c r="H351" s="124"/>
      <c r="I351" s="170" t="s">
        <v>801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24.75" customHeight="1">
      <c r="A352" s="119"/>
      <c r="B352" s="120"/>
      <c r="C352" s="121"/>
      <c r="D352" s="226"/>
      <c r="E352" s="226"/>
      <c r="F352" s="42"/>
      <c r="G352" s="123"/>
      <c r="H352" s="124"/>
      <c r="I352" s="12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24.75" customHeight="1">
      <c r="A353" s="119"/>
      <c r="B353" s="120"/>
      <c r="C353" s="121"/>
      <c r="D353" s="226"/>
      <c r="E353" s="226"/>
      <c r="F353" s="42"/>
      <c r="G353" s="123"/>
      <c r="H353" s="124"/>
      <c r="I353" s="12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24.75" customHeight="1">
      <c r="A354" s="119"/>
      <c r="B354" s="120"/>
      <c r="C354" s="121"/>
      <c r="D354" s="226"/>
      <c r="E354" s="226"/>
      <c r="F354" s="42"/>
      <c r="G354" s="123"/>
      <c r="H354" s="124"/>
      <c r="I354" s="12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24.75" customHeight="1">
      <c r="A355" s="21" t="s">
        <v>802</v>
      </c>
      <c r="B355" s="175" t="s">
        <v>803</v>
      </c>
      <c r="C355" s="176" t="s">
        <v>707</v>
      </c>
      <c r="D355" s="235"/>
      <c r="E355" s="235" t="s">
        <v>757</v>
      </c>
      <c r="F355" s="144"/>
      <c r="G355" s="136"/>
      <c r="H355" s="137"/>
      <c r="I355" s="28" t="s">
        <v>804</v>
      </c>
      <c r="J355" s="134"/>
      <c r="K355" s="13" t="s">
        <v>477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24.75" customHeight="1">
      <c r="A356" s="119"/>
      <c r="B356" s="31" t="s">
        <v>56</v>
      </c>
      <c r="C356" s="168" t="s">
        <v>707</v>
      </c>
      <c r="D356" s="226"/>
      <c r="E356" s="234" t="s">
        <v>712</v>
      </c>
      <c r="F356" s="42"/>
      <c r="G356" s="124"/>
      <c r="H356" s="124"/>
      <c r="I356" s="170" t="s">
        <v>805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24.75" customHeight="1">
      <c r="A357" s="119"/>
      <c r="B357" s="167" t="s">
        <v>527</v>
      </c>
      <c r="C357" s="168" t="s">
        <v>707</v>
      </c>
      <c r="D357" s="226"/>
      <c r="E357" s="234" t="s">
        <v>709</v>
      </c>
      <c r="F357" s="241"/>
      <c r="G357" s="124"/>
      <c r="H357" s="124"/>
      <c r="I357" s="12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24.75" customHeight="1">
      <c r="A358" s="119"/>
      <c r="B358" s="167"/>
      <c r="C358" s="168"/>
      <c r="D358" s="226"/>
      <c r="E358" s="234"/>
      <c r="F358" s="241"/>
      <c r="G358" s="124"/>
      <c r="H358" s="124"/>
      <c r="I358" s="12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24.75" customHeight="1">
      <c r="A359" s="119"/>
      <c r="B359" s="167"/>
      <c r="C359" s="168"/>
      <c r="D359" s="226"/>
      <c r="E359" s="234"/>
      <c r="F359" s="241"/>
      <c r="G359" s="124"/>
      <c r="H359" s="124"/>
      <c r="I359" s="124"/>
      <c r="J359" s="13">
        <v>3.0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24.75" customHeight="1">
      <c r="A360" s="119"/>
      <c r="B360" s="167"/>
      <c r="C360" s="120"/>
      <c r="D360" s="226"/>
      <c r="E360" s="226"/>
      <c r="F360" s="241"/>
      <c r="G360" s="124"/>
      <c r="H360" s="124"/>
      <c r="I360" s="170" t="s">
        <v>806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24.75" customHeight="1">
      <c r="A361" s="21" t="s">
        <v>807</v>
      </c>
      <c r="B361" s="175" t="s">
        <v>527</v>
      </c>
      <c r="C361" s="176" t="s">
        <v>808</v>
      </c>
      <c r="D361" s="235"/>
      <c r="E361" s="235" t="s">
        <v>809</v>
      </c>
      <c r="F361" s="144"/>
      <c r="G361" s="136"/>
      <c r="H361" s="137"/>
      <c r="I361" s="28" t="s">
        <v>810</v>
      </c>
      <c r="J361" s="134"/>
      <c r="K361" s="13" t="s">
        <v>47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24.75" customHeight="1">
      <c r="A362" s="119"/>
      <c r="B362" s="120"/>
      <c r="C362" s="120"/>
      <c r="D362" s="226"/>
      <c r="E362" s="226"/>
      <c r="F362" s="241"/>
      <c r="G362" s="124"/>
      <c r="H362" s="124"/>
      <c r="I362" s="12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24.75" customHeight="1">
      <c r="A363" s="119"/>
      <c r="B363" s="120"/>
      <c r="C363" s="120"/>
      <c r="D363" s="226"/>
      <c r="E363" s="226"/>
      <c r="F363" s="241"/>
      <c r="G363" s="124"/>
      <c r="H363" s="124"/>
      <c r="I363" s="12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24.75" customHeight="1">
      <c r="A364" s="21" t="s">
        <v>811</v>
      </c>
      <c r="B364" s="175" t="s">
        <v>527</v>
      </c>
      <c r="C364" s="176" t="s">
        <v>812</v>
      </c>
      <c r="D364" s="235"/>
      <c r="E364" s="235" t="s">
        <v>813</v>
      </c>
      <c r="F364" s="144" t="s">
        <v>814</v>
      </c>
      <c r="G364" s="136"/>
      <c r="H364" s="137"/>
      <c r="I364" s="28" t="s">
        <v>483</v>
      </c>
      <c r="J364" s="134"/>
      <c r="K364" s="13" t="s">
        <v>47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24.75" customHeight="1">
      <c r="A365" s="119"/>
      <c r="B365" s="31" t="s">
        <v>173</v>
      </c>
      <c r="C365" s="168" t="s">
        <v>812</v>
      </c>
      <c r="D365" s="226"/>
      <c r="E365" s="234" t="s">
        <v>560</v>
      </c>
      <c r="F365" s="144" t="s">
        <v>814</v>
      </c>
      <c r="G365" s="124"/>
      <c r="H365" s="124"/>
      <c r="I365" s="170" t="s">
        <v>815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24.75" customHeight="1">
      <c r="A366" s="119"/>
      <c r="B366" s="167" t="s">
        <v>816</v>
      </c>
      <c r="C366" s="168" t="s">
        <v>812</v>
      </c>
      <c r="D366" s="226"/>
      <c r="E366" s="234" t="s">
        <v>817</v>
      </c>
      <c r="F366" s="241"/>
      <c r="G366" s="124"/>
      <c r="H366" s="124"/>
      <c r="I366" s="170" t="s">
        <v>818</v>
      </c>
      <c r="J366" s="13" t="s">
        <v>819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24.75" customHeight="1">
      <c r="A367" s="119"/>
      <c r="B367" s="167" t="s">
        <v>820</v>
      </c>
      <c r="C367" s="168" t="s">
        <v>812</v>
      </c>
      <c r="D367" s="226"/>
      <c r="E367" s="234" t="s">
        <v>821</v>
      </c>
      <c r="F367" s="241"/>
      <c r="G367" s="124"/>
      <c r="H367" s="124"/>
      <c r="I367" s="12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24.75" customHeight="1">
      <c r="A368" s="119"/>
      <c r="B368" s="167" t="s">
        <v>61</v>
      </c>
      <c r="C368" s="168" t="s">
        <v>812</v>
      </c>
      <c r="D368" s="226"/>
      <c r="E368" s="234" t="s">
        <v>454</v>
      </c>
      <c r="F368" s="241"/>
      <c r="G368" s="124"/>
      <c r="H368" s="124"/>
      <c r="I368" s="12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24.75" customHeight="1">
      <c r="A369" s="119"/>
      <c r="B369" s="167" t="s">
        <v>822</v>
      </c>
      <c r="C369" s="168" t="s">
        <v>584</v>
      </c>
      <c r="D369" s="226"/>
      <c r="E369" s="234" t="s">
        <v>585</v>
      </c>
      <c r="F369" s="241"/>
      <c r="G369" s="124"/>
      <c r="H369" s="124"/>
      <c r="I369" s="170" t="s">
        <v>823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24.75" customHeight="1">
      <c r="A370" s="119"/>
      <c r="B370" s="167" t="s">
        <v>188</v>
      </c>
      <c r="C370" s="168" t="s">
        <v>8</v>
      </c>
      <c r="D370" s="226"/>
      <c r="E370" s="234" t="s">
        <v>611</v>
      </c>
      <c r="F370" s="241"/>
      <c r="G370" s="124"/>
      <c r="H370" s="170" t="s">
        <v>824</v>
      </c>
      <c r="I370" s="170" t="s">
        <v>825</v>
      </c>
      <c r="J370" s="13" t="s">
        <v>826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24.75" customHeight="1">
      <c r="A371" s="119"/>
      <c r="B371" s="167" t="s">
        <v>827</v>
      </c>
      <c r="C371" s="168"/>
      <c r="D371" s="226"/>
      <c r="E371" s="234" t="s">
        <v>828</v>
      </c>
      <c r="F371" s="242"/>
      <c r="G371" s="170" t="s">
        <v>829</v>
      </c>
      <c r="H371" s="170" t="s">
        <v>830</v>
      </c>
      <c r="I371" s="170" t="s">
        <v>831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24.75" customHeight="1">
      <c r="A372" s="119"/>
      <c r="B372" s="167"/>
      <c r="C372" s="168"/>
      <c r="D372" s="226"/>
      <c r="E372" s="234"/>
      <c r="F372" s="241"/>
      <c r="G372" s="124"/>
      <c r="H372" s="243"/>
      <c r="I372" s="24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24.75" customHeight="1">
      <c r="A373" s="21" t="s">
        <v>832</v>
      </c>
      <c r="B373" s="22" t="s">
        <v>56</v>
      </c>
      <c r="C373" s="23" t="s">
        <v>833</v>
      </c>
      <c r="D373" s="24"/>
      <c r="E373" s="24" t="s">
        <v>834</v>
      </c>
      <c r="F373" s="128">
        <v>165.0</v>
      </c>
      <c r="G373" s="136"/>
      <c r="H373" s="137"/>
      <c r="I373" s="28" t="s">
        <v>835</v>
      </c>
      <c r="J373" s="29" t="s">
        <v>836</v>
      </c>
      <c r="K373" s="13" t="s">
        <v>47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24.75" customHeight="1">
      <c r="A374" s="46"/>
      <c r="B374" s="31" t="s">
        <v>527</v>
      </c>
      <c r="C374" s="168" t="s">
        <v>833</v>
      </c>
      <c r="D374" s="244"/>
      <c r="E374" s="237" t="s">
        <v>837</v>
      </c>
      <c r="F374" s="144" t="s">
        <v>838</v>
      </c>
      <c r="G374" s="43"/>
      <c r="H374" s="43"/>
      <c r="I374" s="37" t="s">
        <v>839</v>
      </c>
      <c r="J374" s="38" t="s">
        <v>840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24.75" customHeight="1">
      <c r="A375" s="46"/>
      <c r="B375" s="31" t="s">
        <v>527</v>
      </c>
      <c r="C375" s="168" t="s">
        <v>833</v>
      </c>
      <c r="D375" s="244"/>
      <c r="E375" s="237" t="s">
        <v>841</v>
      </c>
      <c r="F375" s="245">
        <v>170.0</v>
      </c>
      <c r="G375" s="43"/>
      <c r="H375" s="43"/>
      <c r="I375" s="37"/>
      <c r="J375" s="38" t="s">
        <v>842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24.75" customHeight="1">
      <c r="A376" s="46"/>
      <c r="B376" s="31" t="s">
        <v>61</v>
      </c>
      <c r="C376" s="168" t="s">
        <v>833</v>
      </c>
      <c r="D376" s="244"/>
      <c r="E376" s="237" t="s">
        <v>454</v>
      </c>
      <c r="F376" s="246"/>
      <c r="G376" s="43"/>
      <c r="H376" s="43"/>
      <c r="I376" s="37" t="s">
        <v>843</v>
      </c>
      <c r="J376" s="38" t="s">
        <v>844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24.75" customHeight="1">
      <c r="A377" s="46"/>
      <c r="B377" s="31" t="s">
        <v>358</v>
      </c>
      <c r="C377" s="168" t="s">
        <v>833</v>
      </c>
      <c r="D377" s="244"/>
      <c r="E377" s="237"/>
      <c r="F377" s="246"/>
      <c r="G377" s="43"/>
      <c r="H377" s="43"/>
      <c r="I377" s="37"/>
      <c r="J377" s="52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24.75" customHeight="1">
      <c r="A378" s="46"/>
      <c r="B378" s="247"/>
      <c r="C378" s="31"/>
      <c r="D378" s="244"/>
      <c r="E378" s="237"/>
      <c r="F378" s="246"/>
      <c r="G378" s="43"/>
      <c r="H378" s="43"/>
      <c r="I378" s="37"/>
      <c r="J378" s="52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24.75" customHeight="1">
      <c r="A379" s="21" t="s">
        <v>845</v>
      </c>
      <c r="B379" s="175" t="s">
        <v>56</v>
      </c>
      <c r="C379" s="23" t="s">
        <v>846</v>
      </c>
      <c r="D379" s="236"/>
      <c r="E379" s="235" t="s">
        <v>847</v>
      </c>
      <c r="F379" s="248"/>
      <c r="G379" s="137"/>
      <c r="H379" s="137"/>
      <c r="I379" s="28" t="s">
        <v>587</v>
      </c>
      <c r="J379" s="134"/>
      <c r="K379" s="13" t="s">
        <v>47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24.75" customHeight="1">
      <c r="A380" s="46"/>
      <c r="B380" s="31" t="s">
        <v>527</v>
      </c>
      <c r="C380" s="168" t="s">
        <v>846</v>
      </c>
      <c r="D380" s="244"/>
      <c r="E380" s="237" t="s">
        <v>665</v>
      </c>
      <c r="F380" s="246"/>
      <c r="G380" s="43"/>
      <c r="H380" s="43"/>
      <c r="I380" s="37" t="s">
        <v>848</v>
      </c>
      <c r="J380" s="52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24.75" customHeight="1">
      <c r="A381" s="46"/>
      <c r="B381" s="46"/>
      <c r="C381" s="168"/>
      <c r="D381" s="244"/>
      <c r="E381" s="237"/>
      <c r="F381" s="246"/>
      <c r="G381" s="43"/>
      <c r="H381" s="43"/>
      <c r="I381" s="37"/>
      <c r="J381" s="52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24.75" customHeight="1">
      <c r="A382" s="46"/>
      <c r="B382" s="46"/>
      <c r="C382" s="168"/>
      <c r="D382" s="244"/>
      <c r="E382" s="237"/>
      <c r="F382" s="246"/>
      <c r="G382" s="43"/>
      <c r="H382" s="43"/>
      <c r="I382" s="37"/>
      <c r="J382" s="52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24.75" customHeight="1">
      <c r="A383" s="21" t="s">
        <v>849</v>
      </c>
      <c r="B383" s="175" t="s">
        <v>56</v>
      </c>
      <c r="C383" s="23" t="s">
        <v>850</v>
      </c>
      <c r="D383" s="236"/>
      <c r="E383" s="235" t="s">
        <v>851</v>
      </c>
      <c r="F383" s="248"/>
      <c r="G383" s="137"/>
      <c r="H383" s="137"/>
      <c r="I383" s="28"/>
      <c r="J383" s="134"/>
      <c r="K383" s="13" t="s">
        <v>47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24.75" customHeight="1">
      <c r="A384" s="46"/>
      <c r="B384" s="46"/>
      <c r="C384" s="31"/>
      <c r="D384" s="244"/>
      <c r="E384" s="237"/>
      <c r="F384" s="246"/>
      <c r="G384" s="43"/>
      <c r="H384" s="43"/>
      <c r="I384" s="37"/>
      <c r="J384" s="52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24.75" customHeight="1">
      <c r="A385" s="46"/>
      <c r="B385" s="46"/>
      <c r="C385" s="31"/>
      <c r="D385" s="244"/>
      <c r="E385" s="237"/>
      <c r="F385" s="246"/>
      <c r="G385" s="43"/>
      <c r="H385" s="43"/>
      <c r="I385" s="37"/>
      <c r="J385" s="52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24.75" customHeight="1">
      <c r="A386" s="21" t="s">
        <v>852</v>
      </c>
      <c r="B386" s="175" t="s">
        <v>56</v>
      </c>
      <c r="C386" s="23" t="s">
        <v>853</v>
      </c>
      <c r="D386" s="236"/>
      <c r="E386" s="235" t="s">
        <v>854</v>
      </c>
      <c r="F386" s="144">
        <v>90.0</v>
      </c>
      <c r="G386" s="137"/>
      <c r="H386" s="137"/>
      <c r="I386" s="28" t="s">
        <v>855</v>
      </c>
      <c r="J386" s="134"/>
      <c r="K386" s="13" t="s">
        <v>47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24.75" customHeight="1">
      <c r="A387" s="119"/>
      <c r="B387" s="120"/>
      <c r="C387" s="120"/>
      <c r="D387" s="226"/>
      <c r="E387" s="226"/>
      <c r="F387" s="241"/>
      <c r="G387" s="124"/>
      <c r="H387" s="124"/>
      <c r="I387" s="12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24.75" customHeight="1">
      <c r="A388" s="119"/>
      <c r="B388" s="120"/>
      <c r="C388" s="120"/>
      <c r="D388" s="226"/>
      <c r="E388" s="226"/>
      <c r="F388" s="241"/>
      <c r="G388" s="124"/>
      <c r="H388" s="124"/>
      <c r="I388" s="12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24.75" customHeight="1">
      <c r="A389" s="119"/>
      <c r="B389" s="120"/>
      <c r="C389" s="120"/>
      <c r="D389" s="226"/>
      <c r="E389" s="226"/>
      <c r="F389" s="241"/>
      <c r="G389" s="124"/>
      <c r="H389" s="124"/>
      <c r="I389" s="12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24.75" customHeight="1">
      <c r="A390" s="21" t="s">
        <v>856</v>
      </c>
      <c r="B390" s="175" t="s">
        <v>527</v>
      </c>
      <c r="C390" s="23" t="s">
        <v>857</v>
      </c>
      <c r="D390" s="236"/>
      <c r="E390" s="235" t="s">
        <v>858</v>
      </c>
      <c r="F390" s="144">
        <v>100.0</v>
      </c>
      <c r="G390" s="137"/>
      <c r="H390" s="137"/>
      <c r="I390" s="28" t="s">
        <v>859</v>
      </c>
      <c r="J390" s="134"/>
      <c r="K390" s="13" t="s">
        <v>47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24.75" customHeight="1">
      <c r="A391" s="119"/>
      <c r="B391" s="120"/>
      <c r="C391" s="120"/>
      <c r="D391" s="226"/>
      <c r="E391" s="226"/>
      <c r="F391" s="241"/>
      <c r="G391" s="124"/>
      <c r="H391" s="124"/>
      <c r="I391" s="12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24.75" customHeight="1">
      <c r="A392" s="119"/>
      <c r="B392" s="120"/>
      <c r="C392" s="120"/>
      <c r="D392" s="226"/>
      <c r="E392" s="226"/>
      <c r="F392" s="241"/>
      <c r="G392" s="124"/>
      <c r="H392" s="124"/>
      <c r="I392" s="12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24.75" customHeight="1">
      <c r="A393" s="21" t="s">
        <v>860</v>
      </c>
      <c r="B393" s="175" t="s">
        <v>456</v>
      </c>
      <c r="C393" s="176" t="s">
        <v>861</v>
      </c>
      <c r="D393" s="236"/>
      <c r="E393" s="235" t="s">
        <v>862</v>
      </c>
      <c r="F393" s="144"/>
      <c r="G393" s="137"/>
      <c r="H393" s="137"/>
      <c r="I393" s="28"/>
      <c r="J393" s="134"/>
      <c r="K393" s="13" t="s">
        <v>47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24.75" customHeight="1">
      <c r="A394" s="119"/>
      <c r="B394" s="167" t="s">
        <v>527</v>
      </c>
      <c r="C394" s="168" t="s">
        <v>861</v>
      </c>
      <c r="D394" s="226"/>
      <c r="E394" s="234" t="s">
        <v>813</v>
      </c>
      <c r="F394" s="241"/>
      <c r="G394" s="124"/>
      <c r="H394" s="124"/>
      <c r="I394" s="12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24.75" customHeight="1">
      <c r="A395" s="119"/>
      <c r="B395" s="167" t="s">
        <v>756</v>
      </c>
      <c r="C395" s="168" t="s">
        <v>861</v>
      </c>
      <c r="D395" s="226"/>
      <c r="E395" s="234" t="s">
        <v>863</v>
      </c>
      <c r="F395" s="241"/>
      <c r="G395" s="124"/>
      <c r="H395" s="124"/>
      <c r="I395" s="12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24.75" customHeight="1">
      <c r="A396" s="119"/>
      <c r="B396" s="120"/>
      <c r="C396" s="168"/>
      <c r="D396" s="226"/>
      <c r="E396" s="226"/>
      <c r="F396" s="241"/>
      <c r="G396" s="124"/>
      <c r="H396" s="124"/>
      <c r="I396" s="12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24.75" customHeight="1">
      <c r="A397" s="119"/>
      <c r="B397" s="120"/>
      <c r="C397" s="168"/>
      <c r="D397" s="226"/>
      <c r="E397" s="226"/>
      <c r="F397" s="241"/>
      <c r="G397" s="124"/>
      <c r="H397" s="124"/>
      <c r="I397" s="12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24.75" customHeight="1">
      <c r="A398" s="21" t="s">
        <v>864</v>
      </c>
      <c r="B398" s="175" t="s">
        <v>527</v>
      </c>
      <c r="C398" s="176" t="s">
        <v>865</v>
      </c>
      <c r="D398" s="236"/>
      <c r="E398" s="235" t="s">
        <v>866</v>
      </c>
      <c r="F398" s="144">
        <v>110.0</v>
      </c>
      <c r="G398" s="137"/>
      <c r="H398" s="137"/>
      <c r="I398" s="28" t="s">
        <v>867</v>
      </c>
      <c r="J398" s="29" t="s">
        <v>868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24.75" customHeight="1">
      <c r="A399" s="119"/>
      <c r="B399" s="120"/>
      <c r="C399" s="120"/>
      <c r="D399" s="226"/>
      <c r="E399" s="226"/>
      <c r="F399" s="241"/>
      <c r="G399" s="124"/>
      <c r="H399" s="124"/>
      <c r="I399" s="12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24.75" customHeight="1">
      <c r="A400" s="119"/>
      <c r="B400" s="120"/>
      <c r="C400" s="120"/>
      <c r="D400" s="226"/>
      <c r="E400" s="226"/>
      <c r="F400" s="241"/>
      <c r="G400" s="124"/>
      <c r="H400" s="124"/>
      <c r="I400" s="12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24.75" customHeight="1">
      <c r="A401" s="249" t="s">
        <v>869</v>
      </c>
      <c r="B401" s="175" t="s">
        <v>124</v>
      </c>
      <c r="C401" s="176" t="s">
        <v>870</v>
      </c>
      <c r="D401" s="235"/>
      <c r="E401" s="235" t="s">
        <v>125</v>
      </c>
      <c r="F401" s="250"/>
      <c r="G401" s="251"/>
      <c r="H401" s="251"/>
      <c r="I401" s="252" t="s">
        <v>871</v>
      </c>
      <c r="J401" s="7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24.75" customHeight="1">
      <c r="A402" s="119"/>
      <c r="B402" s="31" t="s">
        <v>12</v>
      </c>
      <c r="C402" s="168" t="s">
        <v>870</v>
      </c>
      <c r="D402" s="226"/>
      <c r="E402" s="234" t="s">
        <v>863</v>
      </c>
      <c r="F402" s="241"/>
      <c r="G402" s="124"/>
      <c r="H402" s="124"/>
      <c r="I402" s="170" t="s">
        <v>872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24.75" customHeight="1">
      <c r="A403" s="119"/>
      <c r="B403" s="167" t="s">
        <v>56</v>
      </c>
      <c r="C403" s="168" t="s">
        <v>870</v>
      </c>
      <c r="D403" s="226"/>
      <c r="E403" s="234" t="s">
        <v>873</v>
      </c>
      <c r="F403" s="241"/>
      <c r="G403" s="124"/>
      <c r="H403" s="124"/>
      <c r="I403" s="253" t="s">
        <v>874</v>
      </c>
      <c r="J403" s="254" t="s">
        <v>875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24.75" customHeight="1">
      <c r="A404" s="119"/>
      <c r="B404" s="167" t="s">
        <v>527</v>
      </c>
      <c r="C404" s="168" t="s">
        <v>870</v>
      </c>
      <c r="D404" s="226"/>
      <c r="E404" s="234" t="s">
        <v>876</v>
      </c>
      <c r="F404" s="241"/>
      <c r="G404" s="124"/>
      <c r="H404" s="124"/>
      <c r="I404" s="170"/>
      <c r="J404" s="255" t="s">
        <v>877</v>
      </c>
      <c r="T404" s="256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24.75" customHeight="1">
      <c r="A405" s="119"/>
      <c r="B405" s="167" t="s">
        <v>8</v>
      </c>
      <c r="C405" s="168" t="s">
        <v>870</v>
      </c>
      <c r="D405" s="226"/>
      <c r="E405" s="234" t="s">
        <v>878</v>
      </c>
      <c r="F405" s="241"/>
      <c r="G405" s="124"/>
      <c r="H405" s="124"/>
      <c r="I405" s="170">
        <v>4.044927333E9</v>
      </c>
      <c r="J405" s="257"/>
      <c r="T405" s="256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24.75" customHeight="1">
      <c r="A406" s="239"/>
      <c r="B406" s="258"/>
      <c r="C406" s="259"/>
      <c r="D406" s="226"/>
      <c r="E406" s="226"/>
      <c r="F406" s="241"/>
      <c r="G406" s="124"/>
      <c r="H406" s="124"/>
      <c r="I406" s="170"/>
      <c r="J406" s="260"/>
      <c r="K406" s="261"/>
      <c r="L406" s="261"/>
      <c r="M406" s="261"/>
      <c r="N406" s="261"/>
      <c r="O406" s="261"/>
      <c r="P406" s="261"/>
      <c r="Q406" s="261"/>
      <c r="R406" s="261"/>
      <c r="S406" s="261"/>
      <c r="T406" s="262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24.75" customHeight="1">
      <c r="A407" s="249" t="s">
        <v>879</v>
      </c>
      <c r="B407" s="175" t="s">
        <v>527</v>
      </c>
      <c r="C407" s="176" t="s">
        <v>880</v>
      </c>
      <c r="D407" s="235"/>
      <c r="E407" s="235"/>
      <c r="F407" s="250"/>
      <c r="G407" s="251"/>
      <c r="H407" s="251"/>
      <c r="I407" s="252" t="s">
        <v>881</v>
      </c>
      <c r="J407" s="2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24.75" customHeight="1">
      <c r="A408" s="119"/>
      <c r="B408" s="31" t="s">
        <v>8</v>
      </c>
      <c r="C408" s="168"/>
      <c r="D408" s="226"/>
      <c r="E408" s="234"/>
      <c r="F408" s="241"/>
      <c r="G408" s="124"/>
      <c r="H408" s="124"/>
      <c r="I408" s="17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24.75" customHeight="1">
      <c r="A409" s="119"/>
      <c r="B409" s="167" t="s">
        <v>882</v>
      </c>
      <c r="C409" s="168"/>
      <c r="D409" s="226"/>
      <c r="E409" s="234"/>
      <c r="F409" s="241"/>
      <c r="G409" s="124"/>
      <c r="H409" s="124"/>
      <c r="I409" s="17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24.75" customHeight="1">
      <c r="A410" s="119"/>
      <c r="B410" s="167" t="s">
        <v>358</v>
      </c>
      <c r="C410" s="168"/>
      <c r="D410" s="226"/>
      <c r="E410" s="234"/>
      <c r="F410" s="241"/>
      <c r="G410" s="124"/>
      <c r="H410" s="124"/>
      <c r="I410" s="13" t="s">
        <v>883</v>
      </c>
      <c r="J410" s="13">
        <v>1.8002255345E10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24.75" customHeight="1">
      <c r="A411" s="249" t="s">
        <v>884</v>
      </c>
      <c r="B411" s="175" t="s">
        <v>527</v>
      </c>
      <c r="C411" s="176" t="s">
        <v>885</v>
      </c>
      <c r="D411" s="235"/>
      <c r="E411" s="235" t="s">
        <v>886</v>
      </c>
      <c r="F411" s="250"/>
      <c r="G411" s="251"/>
      <c r="H411" s="251"/>
      <c r="I411" s="252"/>
      <c r="J411" s="7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24.75" customHeight="1">
      <c r="A412" s="119"/>
      <c r="B412" s="31"/>
      <c r="C412" s="168"/>
      <c r="D412" s="226"/>
      <c r="E412" s="234"/>
      <c r="F412" s="241"/>
      <c r="G412" s="124"/>
      <c r="H412" s="124"/>
      <c r="I412" s="17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24.75" customHeight="1">
      <c r="A413" s="249" t="s">
        <v>887</v>
      </c>
      <c r="B413" s="175" t="s">
        <v>56</v>
      </c>
      <c r="C413" s="176" t="s">
        <v>885</v>
      </c>
      <c r="D413" s="235"/>
      <c r="E413" s="235" t="s">
        <v>886</v>
      </c>
      <c r="F413" s="250"/>
      <c r="G413" s="251"/>
      <c r="H413" s="251"/>
      <c r="I413" s="252" t="s">
        <v>888</v>
      </c>
      <c r="J413" s="7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24.75" customHeight="1">
      <c r="A414" s="119"/>
      <c r="B414" s="167"/>
      <c r="C414" s="168"/>
      <c r="D414" s="226"/>
      <c r="E414" s="234"/>
      <c r="F414" s="241"/>
      <c r="G414" s="124"/>
      <c r="H414" s="124"/>
      <c r="I414" s="17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24.75" customHeight="1">
      <c r="A415" s="21" t="s">
        <v>889</v>
      </c>
      <c r="B415" s="175" t="s">
        <v>56</v>
      </c>
      <c r="C415" s="176" t="s">
        <v>890</v>
      </c>
      <c r="D415" s="236"/>
      <c r="E415" s="235" t="s">
        <v>891</v>
      </c>
      <c r="F415" s="144"/>
      <c r="G415" s="263" t="s">
        <v>892</v>
      </c>
      <c r="H415" s="137"/>
      <c r="I415" s="28" t="s">
        <v>893</v>
      </c>
      <c r="J415" s="208" t="s">
        <v>894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24.75" customHeight="1">
      <c r="A416" s="119"/>
      <c r="B416" s="167" t="s">
        <v>8</v>
      </c>
      <c r="C416" s="167"/>
      <c r="D416" s="226"/>
      <c r="E416" s="264" t="s">
        <v>895</v>
      </c>
      <c r="F416" s="265" t="s">
        <v>896</v>
      </c>
      <c r="G416" s="170" t="s">
        <v>897</v>
      </c>
      <c r="H416" s="124"/>
      <c r="I416" s="170" t="s">
        <v>898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24.75" customHeight="1">
      <c r="A417" s="119"/>
      <c r="B417" s="167" t="s">
        <v>899</v>
      </c>
      <c r="C417" s="167"/>
      <c r="D417" s="226"/>
      <c r="E417" s="264" t="s">
        <v>606</v>
      </c>
      <c r="F417" s="265"/>
      <c r="G417" s="170"/>
      <c r="H417" s="12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24.75" customHeight="1">
      <c r="A418" s="119"/>
      <c r="B418" s="167" t="s">
        <v>900</v>
      </c>
      <c r="C418" s="167"/>
      <c r="D418" s="226"/>
      <c r="E418" s="264" t="s">
        <v>76</v>
      </c>
      <c r="F418" s="265" t="s">
        <v>901</v>
      </c>
      <c r="G418" s="170" t="s">
        <v>902</v>
      </c>
      <c r="H418" s="124"/>
      <c r="I418" s="170">
        <v>6.175007598E9</v>
      </c>
      <c r="J418" s="1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24.75" customHeight="1">
      <c r="A419" s="119"/>
      <c r="B419" s="167" t="s">
        <v>247</v>
      </c>
      <c r="C419" s="167"/>
      <c r="D419" s="226"/>
      <c r="E419" s="264" t="s">
        <v>94</v>
      </c>
      <c r="F419" s="265"/>
      <c r="G419" s="170" t="s">
        <v>903</v>
      </c>
      <c r="H419" s="124"/>
      <c r="I419" s="170" t="s">
        <v>904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24.75" customHeight="1">
      <c r="A420" s="119"/>
      <c r="B420" s="167"/>
      <c r="C420" s="167"/>
      <c r="D420" s="226"/>
      <c r="E420" s="264"/>
      <c r="F420" s="265"/>
      <c r="G420" s="170"/>
      <c r="H420" s="124"/>
      <c r="I420" s="170" t="s">
        <v>905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24.75" customHeight="1">
      <c r="A421" s="119"/>
      <c r="B421" s="266" t="s">
        <v>81</v>
      </c>
      <c r="C421" s="167"/>
      <c r="D421" s="226"/>
      <c r="E421" s="264" t="s">
        <v>906</v>
      </c>
      <c r="F421" s="265" t="s">
        <v>907</v>
      </c>
      <c r="G421" s="170" t="s">
        <v>908</v>
      </c>
      <c r="H421" s="170" t="s">
        <v>909</v>
      </c>
      <c r="I421" s="170" t="s">
        <v>910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24.75" customHeight="1">
      <c r="A422" s="119"/>
      <c r="B422" s="266"/>
      <c r="C422" s="167"/>
      <c r="D422" s="226"/>
      <c r="E422" s="264"/>
      <c r="F422" s="265"/>
      <c r="G422" s="170"/>
      <c r="H422" s="170"/>
      <c r="I422" s="17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24.75" customHeight="1">
      <c r="A423" s="267" t="s">
        <v>911</v>
      </c>
      <c r="B423" s="198"/>
      <c r="C423" s="198"/>
      <c r="D423" s="268"/>
      <c r="E423" s="269" t="s">
        <v>912</v>
      </c>
      <c r="F423" s="270"/>
      <c r="G423" s="104"/>
      <c r="H423" s="269"/>
      <c r="I423" s="271" t="s">
        <v>913</v>
      </c>
      <c r="J423" s="269" t="s">
        <v>912</v>
      </c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</row>
    <row r="424" ht="24.75" customHeight="1">
      <c r="A424" s="272"/>
      <c r="B424" s="273" t="s">
        <v>370</v>
      </c>
      <c r="C424" s="273" t="s">
        <v>914</v>
      </c>
      <c r="D424" s="274"/>
      <c r="E424" s="264" t="s">
        <v>915</v>
      </c>
      <c r="F424" s="275">
        <v>150.0</v>
      </c>
      <c r="G424" s="276" t="s">
        <v>916</v>
      </c>
      <c r="H424" s="277"/>
      <c r="I424" s="278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  <c r="AA424" s="279"/>
      <c r="AB424" s="279"/>
      <c r="AC424" s="279"/>
      <c r="AD424" s="279"/>
      <c r="AE424" s="279"/>
    </row>
    <row r="425" ht="24.75" customHeight="1">
      <c r="A425" s="272"/>
      <c r="B425" s="273" t="s">
        <v>406</v>
      </c>
      <c r="C425" s="273" t="s">
        <v>487</v>
      </c>
      <c r="D425" s="274"/>
      <c r="E425" s="264" t="s">
        <v>917</v>
      </c>
      <c r="F425" s="275">
        <v>125.0</v>
      </c>
      <c r="G425" s="276" t="s">
        <v>918</v>
      </c>
      <c r="H425" s="277"/>
      <c r="I425" s="278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  <c r="AA425" s="279"/>
      <c r="AB425" s="279"/>
      <c r="AC425" s="279"/>
      <c r="AD425" s="279"/>
      <c r="AE425" s="279"/>
    </row>
    <row r="426" ht="24.75" customHeight="1">
      <c r="A426" s="272"/>
      <c r="B426" s="273" t="s">
        <v>8</v>
      </c>
      <c r="C426" s="273" t="s">
        <v>919</v>
      </c>
      <c r="D426" s="274"/>
      <c r="E426" s="264" t="s">
        <v>895</v>
      </c>
      <c r="F426" s="275">
        <v>120.0</v>
      </c>
      <c r="G426" s="276" t="s">
        <v>920</v>
      </c>
      <c r="H426" s="277"/>
      <c r="I426" s="278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  <c r="AA426" s="279"/>
      <c r="AB426" s="279"/>
      <c r="AC426" s="279"/>
      <c r="AD426" s="279"/>
      <c r="AE426" s="279"/>
    </row>
    <row r="427" ht="24.75" customHeight="1">
      <c r="B427" s="273" t="s">
        <v>19</v>
      </c>
      <c r="C427" s="273" t="s">
        <v>919</v>
      </c>
      <c r="D427" s="274"/>
      <c r="E427" s="264" t="s">
        <v>921</v>
      </c>
      <c r="F427" s="275">
        <v>135.0</v>
      </c>
      <c r="G427" s="276" t="s">
        <v>922</v>
      </c>
      <c r="H427" s="277"/>
      <c r="I427" s="278" t="s">
        <v>923</v>
      </c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  <c r="AA427" s="279"/>
      <c r="AB427" s="279"/>
      <c r="AC427" s="279"/>
      <c r="AD427" s="279"/>
      <c r="AE427" s="279"/>
    </row>
    <row r="428" ht="24.75" customHeight="1">
      <c r="A428" s="280" t="s">
        <v>924</v>
      </c>
      <c r="B428" s="198" t="s">
        <v>8</v>
      </c>
      <c r="C428" s="198"/>
      <c r="D428" s="268"/>
      <c r="E428" s="268"/>
      <c r="F428" s="281"/>
      <c r="G428" s="282"/>
      <c r="H428" s="283"/>
      <c r="I428" s="284" t="s">
        <v>925</v>
      </c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</row>
    <row r="429" ht="24.75" customHeight="1">
      <c r="A429" s="104"/>
      <c r="B429" s="167" t="s">
        <v>358</v>
      </c>
      <c r="C429" s="167"/>
      <c r="D429" s="226"/>
      <c r="E429" s="226"/>
      <c r="F429" s="104"/>
      <c r="G429" s="170" t="s">
        <v>926</v>
      </c>
      <c r="H429" s="124"/>
      <c r="I429" s="23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24.75" customHeight="1">
      <c r="A430" s="119"/>
      <c r="B430" s="120"/>
      <c r="C430" s="120"/>
      <c r="D430" s="226"/>
      <c r="E430" s="226"/>
      <c r="F430" s="241"/>
      <c r="G430" s="124"/>
      <c r="H430" s="124"/>
      <c r="I430" s="12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24.75" customHeight="1">
      <c r="A431" s="21" t="s">
        <v>927</v>
      </c>
      <c r="B431" s="175" t="s">
        <v>78</v>
      </c>
      <c r="C431" s="176" t="s">
        <v>928</v>
      </c>
      <c r="D431" s="236"/>
      <c r="E431" s="235" t="s">
        <v>929</v>
      </c>
      <c r="F431" s="144"/>
      <c r="G431" s="28" t="s">
        <v>930</v>
      </c>
      <c r="H431" s="137"/>
      <c r="I431" s="28" t="s">
        <v>931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24.75" customHeight="1">
      <c r="A432" s="21"/>
      <c r="B432" s="175" t="s">
        <v>8</v>
      </c>
      <c r="C432" s="176" t="s">
        <v>928</v>
      </c>
      <c r="D432" s="236"/>
      <c r="E432" s="235" t="s">
        <v>932</v>
      </c>
      <c r="F432" s="275">
        <v>200.0</v>
      </c>
      <c r="G432" s="28" t="s">
        <v>933</v>
      </c>
      <c r="H432" s="137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24.75" customHeight="1">
      <c r="A433" s="21"/>
      <c r="B433" s="175"/>
      <c r="C433" s="176"/>
      <c r="D433" s="236"/>
      <c r="E433" s="235"/>
      <c r="F433" s="144"/>
      <c r="G433" s="28"/>
      <c r="H433" s="137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24.75" customHeight="1">
      <c r="A434" s="21"/>
      <c r="B434" s="175"/>
      <c r="C434" s="176"/>
      <c r="D434" s="236"/>
      <c r="E434" s="235"/>
      <c r="F434" s="144"/>
      <c r="G434" s="28"/>
      <c r="H434" s="137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24.75" customHeight="1">
      <c r="A435" s="21"/>
      <c r="B435" s="175"/>
      <c r="C435" s="176"/>
      <c r="D435" s="236"/>
      <c r="E435" s="235"/>
      <c r="F435" s="144"/>
      <c r="G435" s="28"/>
      <c r="H435" s="137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24.75" customHeight="1">
      <c r="A436" s="21" t="s">
        <v>934</v>
      </c>
      <c r="B436" s="175"/>
      <c r="C436" s="176" t="s">
        <v>935</v>
      </c>
      <c r="D436" s="236"/>
      <c r="E436" s="235" t="s">
        <v>929</v>
      </c>
      <c r="F436" s="144"/>
      <c r="G436" s="28" t="s">
        <v>930</v>
      </c>
      <c r="H436" s="137"/>
      <c r="I436" s="28" t="s">
        <v>931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24.75" customHeight="1">
      <c r="A437" s="239" t="s">
        <v>936</v>
      </c>
      <c r="B437" s="167" t="s">
        <v>56</v>
      </c>
      <c r="C437" s="120"/>
      <c r="D437" s="226"/>
      <c r="E437" s="234" t="s">
        <v>937</v>
      </c>
      <c r="F437" s="241"/>
      <c r="G437" s="124"/>
      <c r="H437" s="124"/>
      <c r="I437" s="170" t="s">
        <v>938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24.75" customHeight="1">
      <c r="A438" s="13"/>
      <c r="B438" s="259"/>
      <c r="C438" s="259"/>
      <c r="D438" s="226"/>
      <c r="E438" s="226"/>
      <c r="F438" s="241"/>
      <c r="G438" s="124"/>
      <c r="H438" s="124"/>
      <c r="I438" s="12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24.75" customHeight="1">
      <c r="A439" s="249" t="s">
        <v>939</v>
      </c>
      <c r="B439" s="175" t="s">
        <v>247</v>
      </c>
      <c r="C439" s="176"/>
      <c r="D439" s="235"/>
      <c r="E439" s="235" t="s">
        <v>940</v>
      </c>
      <c r="F439" s="250" t="s">
        <v>941</v>
      </c>
      <c r="G439" s="251"/>
      <c r="H439" s="251"/>
      <c r="I439" s="252">
        <v>8.003522746E9</v>
      </c>
      <c r="J439" s="2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24.75" customHeight="1">
      <c r="A440" s="4"/>
      <c r="B440" s="167" t="s">
        <v>124</v>
      </c>
      <c r="C440" s="259"/>
      <c r="D440" s="226"/>
      <c r="E440" s="234" t="s">
        <v>942</v>
      </c>
      <c r="F440" s="285" t="s">
        <v>941</v>
      </c>
      <c r="G440" s="124"/>
      <c r="H440" s="124"/>
      <c r="I440" s="170">
        <v>6.1226639E9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24.75" customHeight="1">
      <c r="A441" s="4"/>
      <c r="B441" s="258" t="s">
        <v>406</v>
      </c>
      <c r="C441" s="258"/>
      <c r="D441" s="226"/>
      <c r="E441" s="234" t="s">
        <v>943</v>
      </c>
      <c r="F441" s="285">
        <v>100.0</v>
      </c>
      <c r="G441" s="170">
        <v>8.003522746E9</v>
      </c>
      <c r="H441" s="124"/>
      <c r="I441" s="17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24.75" customHeight="1">
      <c r="A442" s="4"/>
      <c r="B442" s="258" t="s">
        <v>944</v>
      </c>
      <c r="C442" s="258" t="s">
        <v>945</v>
      </c>
      <c r="D442" s="226"/>
      <c r="E442" s="226"/>
      <c r="F442" s="285"/>
      <c r="G442" s="170"/>
      <c r="H442" s="124"/>
      <c r="I442" s="17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24.75" customHeight="1">
      <c r="A443" s="4"/>
      <c r="B443" s="258" t="s">
        <v>56</v>
      </c>
      <c r="C443" s="259"/>
      <c r="D443" s="226"/>
      <c r="E443" s="226"/>
      <c r="F443" s="286">
        <v>140.0</v>
      </c>
      <c r="G443" s="170" t="s">
        <v>946</v>
      </c>
      <c r="H443" s="124"/>
      <c r="I443" s="170">
        <v>1.8003522746E10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24.75" customHeight="1">
      <c r="A444" s="4"/>
      <c r="B444" s="258" t="s">
        <v>947</v>
      </c>
      <c r="C444" s="258">
        <v>4110.0</v>
      </c>
      <c r="D444" s="226"/>
      <c r="E444" s="234" t="s">
        <v>948</v>
      </c>
      <c r="F444" s="286"/>
      <c r="G444" s="170"/>
      <c r="H444" s="124"/>
      <c r="I444" s="28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24.75" customHeight="1">
      <c r="A445" s="4"/>
      <c r="B445" s="258" t="s">
        <v>527</v>
      </c>
      <c r="C445" s="259"/>
      <c r="D445" s="226"/>
      <c r="E445" s="234" t="s">
        <v>949</v>
      </c>
      <c r="F445" s="286">
        <v>140.0</v>
      </c>
      <c r="G445" s="170" t="s">
        <v>950</v>
      </c>
      <c r="H445" s="124"/>
      <c r="I445" s="287" t="s">
        <v>951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24.75" customHeight="1">
      <c r="A446" s="4"/>
      <c r="B446" s="258" t="s">
        <v>12</v>
      </c>
      <c r="C446" s="259"/>
      <c r="D446" s="226"/>
      <c r="E446" s="234" t="s">
        <v>85</v>
      </c>
      <c r="F446" s="286"/>
      <c r="G446" s="288" t="s">
        <v>952</v>
      </c>
      <c r="H446" s="124"/>
      <c r="I446" s="28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24.75" customHeight="1">
      <c r="A447" s="289" t="s">
        <v>953</v>
      </c>
      <c r="B447" s="290" t="s">
        <v>81</v>
      </c>
      <c r="C447" s="290"/>
      <c r="D447" s="291"/>
      <c r="E447" s="292"/>
      <c r="F447" s="293">
        <v>175.0</v>
      </c>
      <c r="G447" s="294" t="s">
        <v>954</v>
      </c>
      <c r="H447" s="295"/>
      <c r="I447" s="296">
        <v>6.508218211E9</v>
      </c>
      <c r="J447" s="29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24.75" customHeight="1">
      <c r="A448" s="4"/>
      <c r="B448" s="258" t="s">
        <v>12</v>
      </c>
      <c r="C448" s="258" t="s">
        <v>955</v>
      </c>
      <c r="D448" s="226"/>
      <c r="E448" s="226"/>
      <c r="G448" s="170" t="s">
        <v>956</v>
      </c>
      <c r="H448" s="124"/>
      <c r="I448" s="12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24.75" customHeight="1">
      <c r="A449" s="4"/>
      <c r="B449" s="258" t="s">
        <v>527</v>
      </c>
      <c r="C449" s="259"/>
      <c r="D449" s="226"/>
      <c r="E449" s="226"/>
      <c r="F449" s="241"/>
      <c r="G449" s="298" t="s">
        <v>957</v>
      </c>
      <c r="H449" s="124"/>
      <c r="I449" s="12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24.75" customHeight="1">
      <c r="A450" s="299"/>
      <c r="B450" s="258" t="s">
        <v>8</v>
      </c>
      <c r="C450" s="258" t="s">
        <v>958</v>
      </c>
      <c r="D450" s="226"/>
      <c r="E450" s="234" t="s">
        <v>959</v>
      </c>
      <c r="F450" s="285">
        <v>75.0</v>
      </c>
      <c r="G450" s="170" t="s">
        <v>960</v>
      </c>
      <c r="H450" s="124"/>
      <c r="I450" s="170" t="s">
        <v>961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24.75" customHeight="1">
      <c r="A451" s="4"/>
      <c r="B451" s="259"/>
      <c r="C451" s="259"/>
      <c r="D451" s="226"/>
      <c r="E451" s="226"/>
      <c r="F451" s="241"/>
      <c r="G451" s="124"/>
      <c r="H451" s="124"/>
      <c r="I451" s="12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24.75" customHeight="1">
      <c r="A452" s="300" t="s">
        <v>962</v>
      </c>
      <c r="B452" s="181" t="s">
        <v>527</v>
      </c>
      <c r="C452" s="181" t="s">
        <v>963</v>
      </c>
      <c r="D452" s="180"/>
      <c r="E452" s="181" t="s">
        <v>964</v>
      </c>
      <c r="F452" s="301"/>
      <c r="G452" s="181" t="s">
        <v>965</v>
      </c>
      <c r="H452" s="180"/>
      <c r="I452" s="181" t="s">
        <v>966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24.75" customHeight="1">
      <c r="A453" s="4"/>
      <c r="B453" s="4"/>
      <c r="C453" s="4"/>
      <c r="D453" s="4"/>
      <c r="E453" s="4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24.75" customHeight="1">
      <c r="A454" s="249" t="s">
        <v>967</v>
      </c>
      <c r="B454" s="181" t="s">
        <v>81</v>
      </c>
      <c r="C454" s="181"/>
      <c r="D454" s="180"/>
      <c r="E454" s="181"/>
      <c r="F454" s="301"/>
      <c r="G454" s="302" t="s">
        <v>968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24.75" customHeight="1">
      <c r="A455" s="4"/>
      <c r="B455" s="13" t="s">
        <v>56</v>
      </c>
      <c r="C455" s="303" t="s">
        <v>968</v>
      </c>
      <c r="D455" s="4"/>
      <c r="E455" s="13" t="s">
        <v>969</v>
      </c>
      <c r="F455" s="10"/>
      <c r="G455" s="13" t="s">
        <v>970</v>
      </c>
      <c r="H455" s="4"/>
      <c r="I455" s="13" t="s">
        <v>971</v>
      </c>
      <c r="J455" s="269" t="s">
        <v>972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24.75" customHeight="1">
      <c r="A456" s="4"/>
      <c r="B456" s="4"/>
      <c r="C456" s="4"/>
      <c r="D456" s="4"/>
      <c r="E456" s="4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24.75" customHeight="1">
      <c r="A457" s="4"/>
      <c r="B457" s="13">
        <v>8.002255345E9</v>
      </c>
      <c r="C457" s="4"/>
      <c r="D457" s="4"/>
      <c r="E457" s="4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24.75" customHeight="1">
      <c r="A458" s="4"/>
      <c r="B458" s="4"/>
      <c r="C458" s="4"/>
      <c r="D458" s="4"/>
      <c r="E458" s="4"/>
      <c r="F458" s="10"/>
      <c r="G458" s="4"/>
      <c r="H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24.75" customHeight="1">
      <c r="A459" s="4"/>
      <c r="B459" s="4"/>
      <c r="C459" s="4"/>
      <c r="D459" s="4"/>
      <c r="E459" s="4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24.75" customHeight="1">
      <c r="A460" s="4"/>
      <c r="B460" s="4"/>
      <c r="C460" s="4"/>
      <c r="D460" s="4"/>
      <c r="E460" s="4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24.75" customHeight="1">
      <c r="A461" s="4"/>
      <c r="B461" s="4"/>
      <c r="C461" s="4"/>
      <c r="D461" s="4"/>
      <c r="E461" s="4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24.75" customHeight="1">
      <c r="A462" s="4"/>
      <c r="B462" s="4"/>
      <c r="C462" s="4"/>
      <c r="D462" s="4"/>
      <c r="E462" s="4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24.75" customHeight="1">
      <c r="A463" s="4"/>
      <c r="B463" s="4"/>
      <c r="C463" s="4"/>
      <c r="D463" s="13"/>
      <c r="E463" s="13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24.75" customHeight="1">
      <c r="A464" s="4"/>
      <c r="B464" s="4"/>
      <c r="C464" s="4"/>
      <c r="D464" s="4"/>
      <c r="E464" s="4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24.75" customHeight="1">
      <c r="A465" s="4"/>
      <c r="B465" s="4"/>
      <c r="C465" s="4"/>
      <c r="D465" s="4"/>
      <c r="E465" s="4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24.75" customHeight="1">
      <c r="A466" s="4"/>
      <c r="B466" s="4"/>
      <c r="C466" s="4"/>
      <c r="D466" s="4"/>
      <c r="E466" s="4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24.75" customHeight="1">
      <c r="A467" s="4"/>
      <c r="B467" s="4"/>
      <c r="C467" s="4"/>
      <c r="D467" s="4"/>
      <c r="E467" s="4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24.75" customHeight="1">
      <c r="A468" s="4"/>
      <c r="B468" s="4"/>
      <c r="C468" s="4"/>
      <c r="D468" s="4"/>
      <c r="E468" s="4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24.75" customHeight="1">
      <c r="A469" s="4"/>
      <c r="B469" s="4"/>
      <c r="C469" s="4"/>
      <c r="D469" s="4"/>
      <c r="E469" s="4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24.75" customHeight="1">
      <c r="A470" s="4"/>
      <c r="B470" s="4"/>
      <c r="C470" s="4"/>
      <c r="D470" s="4"/>
      <c r="E470" s="4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24.75" customHeight="1">
      <c r="A471" s="4"/>
      <c r="B471" s="4"/>
      <c r="C471" s="4"/>
      <c r="D471" s="4"/>
      <c r="E471" s="4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24.75" customHeight="1">
      <c r="A472" s="4"/>
      <c r="B472" s="4"/>
      <c r="C472" s="4"/>
      <c r="D472" s="4"/>
      <c r="E472" s="4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24.75" customHeight="1">
      <c r="A473" s="4"/>
      <c r="B473" s="4"/>
      <c r="C473" s="4"/>
      <c r="D473" s="4"/>
      <c r="E473" s="4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24.75" customHeight="1">
      <c r="A474" s="4"/>
      <c r="B474" s="4"/>
      <c r="C474" s="4"/>
      <c r="D474" s="4"/>
      <c r="E474" s="4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24.75" customHeight="1">
      <c r="A475" s="4"/>
      <c r="B475" s="4"/>
      <c r="C475" s="4"/>
      <c r="D475" s="4"/>
      <c r="E475" s="4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24.75" customHeight="1">
      <c r="A476" s="4"/>
      <c r="B476" s="4"/>
      <c r="C476" s="4"/>
      <c r="D476" s="4"/>
      <c r="E476" s="4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24.75" customHeight="1">
      <c r="A477" s="4"/>
      <c r="B477" s="4"/>
      <c r="C477" s="4"/>
      <c r="D477" s="4"/>
      <c r="E477" s="4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24.75" customHeight="1">
      <c r="A478" s="4"/>
      <c r="B478" s="4"/>
      <c r="C478" s="4"/>
      <c r="D478" s="4"/>
      <c r="E478" s="4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24.75" customHeight="1">
      <c r="A479" s="4"/>
      <c r="B479" s="4"/>
      <c r="C479" s="4"/>
      <c r="D479" s="4"/>
      <c r="E479" s="4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24.75" customHeight="1">
      <c r="A480" s="4"/>
      <c r="B480" s="4"/>
      <c r="C480" s="4"/>
      <c r="D480" s="4"/>
      <c r="E480" s="4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24.75" customHeight="1">
      <c r="A481" s="4"/>
      <c r="B481" s="4"/>
      <c r="C481" s="4"/>
      <c r="D481" s="4"/>
      <c r="E481" s="4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24.75" customHeight="1">
      <c r="A482" s="4"/>
      <c r="B482" s="4"/>
      <c r="C482" s="4"/>
      <c r="D482" s="4"/>
      <c r="E482" s="4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24.75" customHeight="1">
      <c r="A483" s="4"/>
      <c r="B483" s="4"/>
      <c r="C483" s="4"/>
      <c r="D483" s="4"/>
      <c r="E483" s="4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24.75" customHeight="1">
      <c r="A484" s="4"/>
      <c r="B484" s="4"/>
      <c r="C484" s="4"/>
      <c r="D484" s="4"/>
      <c r="E484" s="4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24.75" customHeight="1">
      <c r="A485" s="4"/>
      <c r="B485" s="4"/>
      <c r="C485" s="4"/>
      <c r="D485" s="4"/>
      <c r="E485" s="4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24.75" customHeight="1">
      <c r="A486" s="4"/>
      <c r="B486" s="4"/>
      <c r="C486" s="4"/>
      <c r="D486" s="4"/>
      <c r="E486" s="4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24.75" customHeight="1">
      <c r="A487" s="4"/>
      <c r="B487" s="4"/>
      <c r="C487" s="4"/>
      <c r="D487" s="4"/>
      <c r="E487" s="4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24.75" customHeight="1">
      <c r="A488" s="4"/>
      <c r="B488" s="4"/>
      <c r="C488" s="4"/>
      <c r="D488" s="4"/>
      <c r="E488" s="4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24.75" customHeight="1">
      <c r="A489" s="4"/>
      <c r="B489" s="4"/>
      <c r="C489" s="4"/>
      <c r="D489" s="4"/>
      <c r="E489" s="4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24.75" customHeight="1">
      <c r="A490" s="4"/>
      <c r="B490" s="4"/>
      <c r="C490" s="4"/>
      <c r="D490" s="4"/>
      <c r="E490" s="4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24.75" customHeight="1">
      <c r="A491" s="4"/>
      <c r="B491" s="4"/>
      <c r="C491" s="4"/>
      <c r="D491" s="4"/>
      <c r="E491" s="4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24.75" customHeight="1">
      <c r="A492" s="4"/>
      <c r="B492" s="4"/>
      <c r="C492" s="4"/>
      <c r="D492" s="4"/>
      <c r="E492" s="4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24.75" customHeight="1">
      <c r="A493" s="4"/>
      <c r="B493" s="4"/>
      <c r="C493" s="4"/>
      <c r="D493" s="4"/>
      <c r="E493" s="4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24.75" customHeight="1">
      <c r="A494" s="4"/>
      <c r="B494" s="4"/>
      <c r="C494" s="4"/>
      <c r="D494" s="4"/>
      <c r="E494" s="4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24.75" customHeight="1">
      <c r="A495" s="4"/>
      <c r="B495" s="4"/>
      <c r="C495" s="4"/>
      <c r="D495" s="4"/>
      <c r="E495" s="4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24.75" customHeight="1">
      <c r="A496" s="4"/>
      <c r="B496" s="4"/>
      <c r="C496" s="4"/>
      <c r="D496" s="4"/>
      <c r="E496" s="4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24.75" customHeight="1">
      <c r="A497" s="4"/>
      <c r="B497" s="4"/>
      <c r="C497" s="4"/>
      <c r="D497" s="4"/>
      <c r="E497" s="4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24.75" customHeight="1">
      <c r="A498" s="4"/>
      <c r="B498" s="4"/>
      <c r="C498" s="4"/>
      <c r="D498" s="4"/>
      <c r="E498" s="4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24.75" customHeight="1">
      <c r="A499" s="4"/>
      <c r="B499" s="4"/>
      <c r="C499" s="4"/>
      <c r="D499" s="4"/>
      <c r="E499" s="4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24.75" customHeight="1">
      <c r="A500" s="4"/>
      <c r="B500" s="4"/>
      <c r="C500" s="4"/>
      <c r="D500" s="4"/>
      <c r="E500" s="4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24.75" customHeight="1">
      <c r="A501" s="4"/>
      <c r="B501" s="4"/>
      <c r="C501" s="4"/>
      <c r="D501" s="4"/>
      <c r="E501" s="4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24.75" customHeight="1">
      <c r="A502" s="4"/>
      <c r="B502" s="4"/>
      <c r="C502" s="4"/>
      <c r="D502" s="4"/>
      <c r="E502" s="4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24.75" customHeight="1">
      <c r="A503" s="4"/>
      <c r="B503" s="4"/>
      <c r="C503" s="4"/>
      <c r="D503" s="4"/>
      <c r="E503" s="4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24.75" customHeight="1">
      <c r="A504" s="4"/>
      <c r="B504" s="4"/>
      <c r="C504" s="4"/>
      <c r="D504" s="4"/>
      <c r="E504" s="4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24.75" customHeight="1">
      <c r="A505" s="4"/>
      <c r="B505" s="4"/>
      <c r="C505" s="4"/>
      <c r="D505" s="4"/>
      <c r="E505" s="4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24.75" customHeight="1">
      <c r="A506" s="4"/>
      <c r="B506" s="4"/>
      <c r="C506" s="4"/>
      <c r="D506" s="4"/>
      <c r="E506" s="4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24.75" customHeight="1">
      <c r="A507" s="4"/>
      <c r="B507" s="4"/>
      <c r="C507" s="4"/>
      <c r="D507" s="4"/>
      <c r="E507" s="4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24.75" customHeight="1">
      <c r="A508" s="4"/>
      <c r="B508" s="4"/>
      <c r="C508" s="4"/>
      <c r="D508" s="4"/>
      <c r="E508" s="4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24.75" customHeight="1">
      <c r="A509" s="4"/>
      <c r="B509" s="4"/>
      <c r="C509" s="4"/>
      <c r="D509" s="4"/>
      <c r="E509" s="4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24.75" customHeight="1">
      <c r="A510" s="4"/>
      <c r="B510" s="4"/>
      <c r="C510" s="4"/>
      <c r="D510" s="4"/>
      <c r="E510" s="4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24.75" customHeight="1">
      <c r="A511" s="4"/>
      <c r="B511" s="4"/>
      <c r="C511" s="4"/>
      <c r="D511" s="4"/>
      <c r="E511" s="4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24.75" customHeight="1">
      <c r="A512" s="4"/>
      <c r="B512" s="4"/>
      <c r="C512" s="4"/>
      <c r="D512" s="4"/>
      <c r="E512" s="4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24.75" customHeight="1">
      <c r="A513" s="4"/>
      <c r="B513" s="4"/>
      <c r="C513" s="4"/>
      <c r="D513" s="4"/>
      <c r="E513" s="4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24.75" customHeight="1">
      <c r="A514" s="4"/>
      <c r="B514" s="4"/>
      <c r="C514" s="4"/>
      <c r="D514" s="4"/>
      <c r="E514" s="4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24.75" customHeight="1">
      <c r="A515" s="4"/>
      <c r="B515" s="4"/>
      <c r="C515" s="4"/>
      <c r="D515" s="4"/>
      <c r="E515" s="4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24.75" customHeight="1">
      <c r="A516" s="4"/>
      <c r="B516" s="4"/>
      <c r="C516" s="4"/>
      <c r="D516" s="4"/>
      <c r="E516" s="4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24.75" customHeight="1">
      <c r="A517" s="4"/>
      <c r="B517" s="4"/>
      <c r="C517" s="4"/>
      <c r="D517" s="4"/>
      <c r="E517" s="4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24.75" customHeight="1">
      <c r="A518" s="4"/>
      <c r="B518" s="4"/>
      <c r="C518" s="4"/>
      <c r="D518" s="4"/>
      <c r="E518" s="4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24.75" customHeight="1">
      <c r="A519" s="4"/>
      <c r="B519" s="4"/>
      <c r="C519" s="4"/>
      <c r="D519" s="4"/>
      <c r="E519" s="4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24.75" customHeight="1">
      <c r="A520" s="4"/>
      <c r="B520" s="4"/>
      <c r="C520" s="4"/>
      <c r="D520" s="4"/>
      <c r="E520" s="4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24.75" customHeight="1">
      <c r="A521" s="4"/>
      <c r="B521" s="4"/>
      <c r="C521" s="4"/>
      <c r="D521" s="4"/>
      <c r="E521" s="4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24.75" customHeight="1">
      <c r="A522" s="4"/>
      <c r="B522" s="4"/>
      <c r="C522" s="4"/>
      <c r="D522" s="4"/>
      <c r="E522" s="4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24.75" customHeight="1">
      <c r="A523" s="4"/>
      <c r="B523" s="4"/>
      <c r="C523" s="4"/>
      <c r="D523" s="4"/>
      <c r="E523" s="4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24.75" customHeight="1">
      <c r="A524" s="4"/>
      <c r="B524" s="4"/>
      <c r="C524" s="4"/>
      <c r="D524" s="4"/>
      <c r="E524" s="4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24.75" customHeight="1">
      <c r="A525" s="4"/>
      <c r="B525" s="4"/>
      <c r="C525" s="4"/>
      <c r="D525" s="4"/>
      <c r="E525" s="4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24.75" customHeight="1">
      <c r="A526" s="4"/>
      <c r="B526" s="4"/>
      <c r="C526" s="4"/>
      <c r="D526" s="4"/>
      <c r="E526" s="4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24.75" customHeight="1">
      <c r="A527" s="4"/>
      <c r="B527" s="4"/>
      <c r="C527" s="4"/>
      <c r="D527" s="4"/>
      <c r="E527" s="4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24.75" customHeight="1">
      <c r="A528" s="4"/>
      <c r="B528" s="4"/>
      <c r="C528" s="4"/>
      <c r="D528" s="4"/>
      <c r="E528" s="4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24.75" customHeight="1">
      <c r="A529" s="4"/>
      <c r="B529" s="4"/>
      <c r="C529" s="4"/>
      <c r="D529" s="4"/>
      <c r="E529" s="4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24.75" customHeight="1">
      <c r="A530" s="4"/>
      <c r="B530" s="4"/>
      <c r="C530" s="4"/>
      <c r="D530" s="4"/>
      <c r="E530" s="4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24.75" customHeight="1">
      <c r="A531" s="4"/>
      <c r="B531" s="4"/>
      <c r="C531" s="4"/>
      <c r="D531" s="4"/>
      <c r="E531" s="4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24.75" customHeight="1">
      <c r="A532" s="4"/>
      <c r="B532" s="4"/>
      <c r="C532" s="4"/>
      <c r="D532" s="4"/>
      <c r="E532" s="4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24.75" customHeight="1">
      <c r="A533" s="4"/>
      <c r="B533" s="4"/>
      <c r="C533" s="4"/>
      <c r="D533" s="4"/>
      <c r="E533" s="4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24.75" customHeight="1">
      <c r="A534" s="4"/>
      <c r="B534" s="4"/>
      <c r="C534" s="4"/>
      <c r="D534" s="4"/>
      <c r="E534" s="4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24.75" customHeight="1">
      <c r="A535" s="4"/>
      <c r="B535" s="4"/>
      <c r="C535" s="4"/>
      <c r="D535" s="4"/>
      <c r="E535" s="4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24.75" customHeight="1">
      <c r="A536" s="4"/>
      <c r="B536" s="4"/>
      <c r="C536" s="4"/>
      <c r="D536" s="4"/>
      <c r="E536" s="4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24.75" customHeight="1">
      <c r="A537" s="4"/>
      <c r="B537" s="4"/>
      <c r="C537" s="4"/>
      <c r="D537" s="4"/>
      <c r="E537" s="4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24.75" customHeight="1">
      <c r="A538" s="4"/>
      <c r="B538" s="4"/>
      <c r="C538" s="4"/>
      <c r="D538" s="4"/>
      <c r="E538" s="4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24.75" customHeight="1">
      <c r="A539" s="4"/>
      <c r="B539" s="4"/>
      <c r="C539" s="4"/>
      <c r="D539" s="4"/>
      <c r="E539" s="4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24.75" customHeight="1">
      <c r="A540" s="4"/>
      <c r="B540" s="4"/>
      <c r="C540" s="4"/>
      <c r="D540" s="4"/>
      <c r="E540" s="4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24.75" customHeight="1">
      <c r="A541" s="4"/>
      <c r="B541" s="4"/>
      <c r="C541" s="4"/>
      <c r="D541" s="4"/>
      <c r="E541" s="4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24.75" customHeight="1">
      <c r="A542" s="4"/>
      <c r="B542" s="4"/>
      <c r="C542" s="4"/>
      <c r="D542" s="4"/>
      <c r="E542" s="4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24.75" customHeight="1">
      <c r="A543" s="4"/>
      <c r="B543" s="4"/>
      <c r="C543" s="4"/>
      <c r="D543" s="4"/>
      <c r="E543" s="4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24.75" customHeight="1">
      <c r="A544" s="4"/>
      <c r="B544" s="4"/>
      <c r="C544" s="4"/>
      <c r="D544" s="4"/>
      <c r="E544" s="4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24.75" customHeight="1">
      <c r="A545" s="4"/>
      <c r="B545" s="4"/>
      <c r="C545" s="4"/>
      <c r="D545" s="4"/>
      <c r="E545" s="4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24.75" customHeight="1">
      <c r="A546" s="4"/>
      <c r="B546" s="4"/>
      <c r="C546" s="4"/>
      <c r="D546" s="4"/>
      <c r="E546" s="4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24.75" customHeight="1">
      <c r="A547" s="4"/>
      <c r="B547" s="4"/>
      <c r="C547" s="4"/>
      <c r="D547" s="4"/>
      <c r="E547" s="4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24.75" customHeight="1">
      <c r="A548" s="4"/>
      <c r="B548" s="4"/>
      <c r="C548" s="4"/>
      <c r="D548" s="4"/>
      <c r="E548" s="4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24.75" customHeight="1">
      <c r="A549" s="4"/>
      <c r="B549" s="4"/>
      <c r="C549" s="4"/>
      <c r="D549" s="4"/>
      <c r="E549" s="4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24.75" customHeight="1">
      <c r="A550" s="4"/>
      <c r="B550" s="4"/>
      <c r="C550" s="4"/>
      <c r="D550" s="4"/>
      <c r="E550" s="4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24.75" customHeight="1">
      <c r="A551" s="4"/>
      <c r="B551" s="4"/>
      <c r="C551" s="4"/>
      <c r="D551" s="4"/>
      <c r="E551" s="4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24.75" customHeight="1">
      <c r="A552" s="4"/>
      <c r="B552" s="4"/>
      <c r="C552" s="4"/>
      <c r="D552" s="4"/>
      <c r="E552" s="4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24.75" customHeight="1">
      <c r="A553" s="4"/>
      <c r="B553" s="4"/>
      <c r="C553" s="4"/>
      <c r="D553" s="4"/>
      <c r="E553" s="4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24.75" customHeight="1">
      <c r="A554" s="4"/>
      <c r="B554" s="4"/>
      <c r="C554" s="4"/>
      <c r="D554" s="4"/>
      <c r="E554" s="4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24.75" customHeight="1">
      <c r="A555" s="4"/>
      <c r="B555" s="4"/>
      <c r="C555" s="4"/>
      <c r="D555" s="4"/>
      <c r="E555" s="4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24.75" customHeight="1">
      <c r="A556" s="4"/>
      <c r="B556" s="4"/>
      <c r="C556" s="4"/>
      <c r="D556" s="4"/>
      <c r="E556" s="4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24.75" customHeight="1">
      <c r="A557" s="4"/>
      <c r="B557" s="4"/>
      <c r="C557" s="4"/>
      <c r="D557" s="4"/>
      <c r="E557" s="4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24.75" customHeight="1">
      <c r="A558" s="4"/>
      <c r="B558" s="4"/>
      <c r="C558" s="4"/>
      <c r="D558" s="4"/>
      <c r="E558" s="4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24.75" customHeight="1">
      <c r="A559" s="4"/>
      <c r="B559" s="4"/>
      <c r="C559" s="4"/>
      <c r="D559" s="4"/>
      <c r="E559" s="4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24.75" customHeight="1">
      <c r="A560" s="4"/>
      <c r="B560" s="4"/>
      <c r="C560" s="4"/>
      <c r="D560" s="4"/>
      <c r="E560" s="4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24.75" customHeight="1">
      <c r="A561" s="4"/>
      <c r="B561" s="4"/>
      <c r="C561" s="4"/>
      <c r="D561" s="4"/>
      <c r="E561" s="4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24.75" customHeight="1">
      <c r="A562" s="4"/>
      <c r="B562" s="4"/>
      <c r="C562" s="4"/>
      <c r="D562" s="4"/>
      <c r="E562" s="4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24.75" customHeight="1">
      <c r="A563" s="4"/>
      <c r="B563" s="4"/>
      <c r="C563" s="4"/>
      <c r="D563" s="4"/>
      <c r="E563" s="4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24.75" customHeight="1">
      <c r="A564" s="4"/>
      <c r="B564" s="4"/>
      <c r="C564" s="4"/>
      <c r="D564" s="4"/>
      <c r="E564" s="4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24.75" customHeight="1">
      <c r="A565" s="4"/>
      <c r="B565" s="4"/>
      <c r="C565" s="4"/>
      <c r="D565" s="4"/>
      <c r="E565" s="4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24.75" customHeight="1">
      <c r="A566" s="4"/>
      <c r="B566" s="4"/>
      <c r="C566" s="4"/>
      <c r="D566" s="4"/>
      <c r="E566" s="4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24.75" customHeight="1">
      <c r="A567" s="4"/>
      <c r="B567" s="4"/>
      <c r="C567" s="4"/>
      <c r="D567" s="4"/>
      <c r="E567" s="4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24.75" customHeight="1">
      <c r="A568" s="4"/>
      <c r="B568" s="4"/>
      <c r="C568" s="4"/>
      <c r="D568" s="4"/>
      <c r="E568" s="4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24.75" customHeight="1">
      <c r="A569" s="4"/>
      <c r="B569" s="4"/>
      <c r="C569" s="4"/>
      <c r="D569" s="4"/>
      <c r="E569" s="4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24.75" customHeight="1">
      <c r="A570" s="4"/>
      <c r="B570" s="4"/>
      <c r="C570" s="4"/>
      <c r="D570" s="4"/>
      <c r="E570" s="4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24.75" customHeight="1">
      <c r="A571" s="4"/>
      <c r="B571" s="4"/>
      <c r="C571" s="4"/>
      <c r="D571" s="4"/>
      <c r="E571" s="4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24.75" customHeight="1">
      <c r="A572" s="4"/>
      <c r="B572" s="4"/>
      <c r="C572" s="4"/>
      <c r="D572" s="4"/>
      <c r="E572" s="4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24.75" customHeight="1">
      <c r="A573" s="4"/>
      <c r="B573" s="4"/>
      <c r="C573" s="4"/>
      <c r="D573" s="4"/>
      <c r="E573" s="4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24.75" customHeight="1">
      <c r="A574" s="4"/>
      <c r="B574" s="4"/>
      <c r="C574" s="4"/>
      <c r="D574" s="4"/>
      <c r="E574" s="4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24.75" customHeight="1">
      <c r="A575" s="4"/>
      <c r="B575" s="4"/>
      <c r="C575" s="4"/>
      <c r="D575" s="4"/>
      <c r="E575" s="4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24.75" customHeight="1">
      <c r="A576" s="4"/>
      <c r="B576" s="4"/>
      <c r="C576" s="4"/>
      <c r="D576" s="4"/>
      <c r="E576" s="4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24.75" customHeight="1">
      <c r="A577" s="4"/>
      <c r="B577" s="4"/>
      <c r="C577" s="4"/>
      <c r="D577" s="4"/>
      <c r="E577" s="4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24.75" customHeight="1">
      <c r="A578" s="4"/>
      <c r="B578" s="4"/>
      <c r="C578" s="4"/>
      <c r="D578" s="4"/>
      <c r="E578" s="4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24.75" customHeight="1">
      <c r="A579" s="4"/>
      <c r="B579" s="4"/>
      <c r="C579" s="4"/>
      <c r="D579" s="4"/>
      <c r="E579" s="4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24.75" customHeight="1">
      <c r="A580" s="4"/>
      <c r="B580" s="4"/>
      <c r="C580" s="4"/>
      <c r="D580" s="4"/>
      <c r="E580" s="4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24.75" customHeight="1">
      <c r="A581" s="4"/>
      <c r="B581" s="4"/>
      <c r="C581" s="4"/>
      <c r="D581" s="4"/>
      <c r="E581" s="4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24.75" customHeight="1">
      <c r="A582" s="4"/>
      <c r="B582" s="4"/>
      <c r="C582" s="4"/>
      <c r="D582" s="4"/>
      <c r="E582" s="4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24.75" customHeight="1">
      <c r="A583" s="4"/>
      <c r="B583" s="4"/>
      <c r="C583" s="4"/>
      <c r="D583" s="4"/>
      <c r="E583" s="4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24.75" customHeight="1">
      <c r="A584" s="4"/>
      <c r="B584" s="4"/>
      <c r="C584" s="4"/>
      <c r="D584" s="4"/>
      <c r="E584" s="4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24.75" customHeight="1">
      <c r="A585" s="4"/>
      <c r="B585" s="4"/>
      <c r="C585" s="4"/>
      <c r="D585" s="4"/>
      <c r="E585" s="4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24.75" customHeight="1">
      <c r="A586" s="4"/>
      <c r="B586" s="4"/>
      <c r="C586" s="4"/>
      <c r="D586" s="4"/>
      <c r="E586" s="4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24.75" customHeight="1">
      <c r="A587" s="4"/>
      <c r="B587" s="4"/>
      <c r="C587" s="4"/>
      <c r="D587" s="4"/>
      <c r="E587" s="4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24.75" customHeight="1">
      <c r="A588" s="4"/>
      <c r="B588" s="4"/>
      <c r="C588" s="4"/>
      <c r="D588" s="4"/>
      <c r="E588" s="4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24.75" customHeight="1">
      <c r="A589" s="4"/>
      <c r="B589" s="4"/>
      <c r="C589" s="4"/>
      <c r="D589" s="4"/>
      <c r="E589" s="4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24.75" customHeight="1">
      <c r="A590" s="4"/>
      <c r="B590" s="4"/>
      <c r="C590" s="4"/>
      <c r="D590" s="4"/>
      <c r="E590" s="4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24.75" customHeight="1">
      <c r="A591" s="4"/>
      <c r="B591" s="4"/>
      <c r="C591" s="4"/>
      <c r="D591" s="4"/>
      <c r="E591" s="4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24.75" customHeight="1">
      <c r="A592" s="4"/>
      <c r="B592" s="4"/>
      <c r="C592" s="4"/>
      <c r="D592" s="4"/>
      <c r="E592" s="4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24.75" customHeight="1">
      <c r="A593" s="4"/>
      <c r="B593" s="4"/>
      <c r="C593" s="4"/>
      <c r="D593" s="4"/>
      <c r="E593" s="4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24.75" customHeight="1">
      <c r="A594" s="4"/>
      <c r="B594" s="4"/>
      <c r="C594" s="4"/>
      <c r="D594" s="4"/>
      <c r="E594" s="4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24.75" customHeight="1">
      <c r="A595" s="4"/>
      <c r="B595" s="4"/>
      <c r="C595" s="4"/>
      <c r="D595" s="4"/>
      <c r="E595" s="4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24.75" customHeight="1">
      <c r="A596" s="4"/>
      <c r="B596" s="4"/>
      <c r="C596" s="4"/>
      <c r="D596" s="4"/>
      <c r="E596" s="4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24.75" customHeight="1">
      <c r="A597" s="4"/>
      <c r="B597" s="4"/>
      <c r="C597" s="4"/>
      <c r="D597" s="4"/>
      <c r="E597" s="4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24.75" customHeight="1">
      <c r="A598" s="4"/>
      <c r="B598" s="4"/>
      <c r="C598" s="4"/>
      <c r="D598" s="4"/>
      <c r="E598" s="4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24.75" customHeight="1">
      <c r="A599" s="4"/>
      <c r="B599" s="4"/>
      <c r="C599" s="4"/>
      <c r="D599" s="4"/>
      <c r="E599" s="4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24.75" customHeight="1">
      <c r="A600" s="4"/>
      <c r="B600" s="4"/>
      <c r="C600" s="4"/>
      <c r="D600" s="4"/>
      <c r="E600" s="4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24.75" customHeight="1">
      <c r="A601" s="4"/>
      <c r="B601" s="4"/>
      <c r="C601" s="4"/>
      <c r="D601" s="4"/>
      <c r="E601" s="4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24.75" customHeight="1">
      <c r="A602" s="4"/>
      <c r="B602" s="4"/>
      <c r="C602" s="4"/>
      <c r="D602" s="4"/>
      <c r="E602" s="4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24.75" customHeight="1">
      <c r="A603" s="4"/>
      <c r="B603" s="4"/>
      <c r="C603" s="4"/>
      <c r="D603" s="4"/>
      <c r="E603" s="4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24.75" customHeight="1">
      <c r="A604" s="4"/>
      <c r="B604" s="4"/>
      <c r="C604" s="4"/>
      <c r="D604" s="4"/>
      <c r="E604" s="4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24.75" customHeight="1">
      <c r="A605" s="4"/>
      <c r="B605" s="4"/>
      <c r="C605" s="4"/>
      <c r="D605" s="4"/>
      <c r="E605" s="4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24.75" customHeight="1">
      <c r="A606" s="4"/>
      <c r="B606" s="4"/>
      <c r="C606" s="4"/>
      <c r="D606" s="4"/>
      <c r="E606" s="4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24.75" customHeight="1">
      <c r="A607" s="4"/>
      <c r="B607" s="4"/>
      <c r="C607" s="4"/>
      <c r="D607" s="4"/>
      <c r="E607" s="4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24.75" customHeight="1">
      <c r="A608" s="4"/>
      <c r="B608" s="4"/>
      <c r="C608" s="4"/>
      <c r="D608" s="4"/>
      <c r="E608" s="4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24.75" customHeight="1">
      <c r="A609" s="4"/>
      <c r="B609" s="4"/>
      <c r="C609" s="4"/>
      <c r="D609" s="4"/>
      <c r="E609" s="4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24.75" customHeight="1">
      <c r="A610" s="4"/>
      <c r="B610" s="4"/>
      <c r="C610" s="4"/>
      <c r="D610" s="4"/>
      <c r="E610" s="4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24.75" customHeight="1">
      <c r="A611" s="4"/>
      <c r="B611" s="4"/>
      <c r="C611" s="4"/>
      <c r="D611" s="4"/>
      <c r="E611" s="4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24.75" customHeight="1">
      <c r="A612" s="4"/>
      <c r="B612" s="4"/>
      <c r="C612" s="4"/>
      <c r="D612" s="4"/>
      <c r="E612" s="4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24.75" customHeight="1">
      <c r="A613" s="4"/>
      <c r="B613" s="4"/>
      <c r="C613" s="4"/>
      <c r="D613" s="4"/>
      <c r="E613" s="4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24.75" customHeight="1">
      <c r="A614" s="4"/>
      <c r="B614" s="4"/>
      <c r="C614" s="4"/>
      <c r="D614" s="4"/>
      <c r="E614" s="4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24.75" customHeight="1">
      <c r="A615" s="4"/>
      <c r="B615" s="4"/>
      <c r="C615" s="4"/>
      <c r="D615" s="4"/>
      <c r="E615" s="4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24.75" customHeight="1">
      <c r="A616" s="4"/>
      <c r="B616" s="4"/>
      <c r="C616" s="4"/>
      <c r="D616" s="4"/>
      <c r="E616" s="4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24.75" customHeight="1">
      <c r="A617" s="4"/>
      <c r="B617" s="4"/>
      <c r="C617" s="4"/>
      <c r="D617" s="4"/>
      <c r="E617" s="4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24.75" customHeight="1">
      <c r="A618" s="4"/>
      <c r="B618" s="4"/>
      <c r="C618" s="4"/>
      <c r="D618" s="4"/>
      <c r="E618" s="4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24.75" customHeight="1">
      <c r="A619" s="4"/>
      <c r="B619" s="4"/>
      <c r="C619" s="4"/>
      <c r="D619" s="4"/>
      <c r="E619" s="4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24.75" customHeight="1">
      <c r="A620" s="4"/>
      <c r="B620" s="4"/>
      <c r="C620" s="4"/>
      <c r="D620" s="4"/>
      <c r="E620" s="4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24.75" customHeight="1">
      <c r="A621" s="4"/>
      <c r="B621" s="4"/>
      <c r="C621" s="4"/>
      <c r="D621" s="4"/>
      <c r="E621" s="4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24.75" customHeight="1">
      <c r="A622" s="4"/>
      <c r="B622" s="4"/>
      <c r="C622" s="4"/>
      <c r="D622" s="4"/>
      <c r="E622" s="4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24.75" customHeight="1">
      <c r="A623" s="4"/>
      <c r="B623" s="4"/>
      <c r="C623" s="4"/>
      <c r="D623" s="4"/>
      <c r="E623" s="4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24.75" customHeight="1">
      <c r="A624" s="4"/>
      <c r="B624" s="4"/>
      <c r="C624" s="4"/>
      <c r="D624" s="4"/>
      <c r="E624" s="4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24.75" customHeight="1">
      <c r="A625" s="4"/>
      <c r="B625" s="4"/>
      <c r="C625" s="4"/>
      <c r="D625" s="4"/>
      <c r="E625" s="4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24.75" customHeight="1">
      <c r="A626" s="4"/>
      <c r="B626" s="4"/>
      <c r="C626" s="4"/>
      <c r="D626" s="4"/>
      <c r="E626" s="4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24.75" customHeight="1">
      <c r="A627" s="4"/>
      <c r="B627" s="4"/>
      <c r="C627" s="4"/>
      <c r="D627" s="4"/>
      <c r="E627" s="4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24.75" customHeight="1">
      <c r="A628" s="4"/>
      <c r="B628" s="4"/>
      <c r="C628" s="4"/>
      <c r="D628" s="4"/>
      <c r="E628" s="4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24.75" customHeight="1">
      <c r="A629" s="4"/>
      <c r="B629" s="4"/>
      <c r="C629" s="4"/>
      <c r="D629" s="4"/>
      <c r="E629" s="4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24.75" customHeight="1">
      <c r="A630" s="4"/>
      <c r="B630" s="4"/>
      <c r="C630" s="4"/>
      <c r="D630" s="4"/>
      <c r="E630" s="4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24.75" customHeight="1">
      <c r="A631" s="4"/>
      <c r="B631" s="4"/>
      <c r="C631" s="4"/>
      <c r="D631" s="4"/>
      <c r="E631" s="4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24.75" customHeight="1">
      <c r="A632" s="4"/>
      <c r="B632" s="4"/>
      <c r="C632" s="4"/>
      <c r="D632" s="4"/>
      <c r="E632" s="4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24.75" customHeight="1">
      <c r="A633" s="4"/>
      <c r="B633" s="4"/>
      <c r="C633" s="4"/>
      <c r="D633" s="4"/>
      <c r="E633" s="4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24.75" customHeight="1">
      <c r="A634" s="4"/>
      <c r="B634" s="4"/>
      <c r="C634" s="4"/>
      <c r="D634" s="4"/>
      <c r="E634" s="4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24.75" customHeight="1">
      <c r="A635" s="4"/>
      <c r="B635" s="4"/>
      <c r="C635" s="4"/>
      <c r="D635" s="4"/>
      <c r="E635" s="4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24.75" customHeight="1">
      <c r="A636" s="4"/>
      <c r="B636" s="4"/>
      <c r="C636" s="4"/>
      <c r="D636" s="4"/>
      <c r="E636" s="4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24.75" customHeight="1">
      <c r="A637" s="4"/>
      <c r="B637" s="4"/>
      <c r="C637" s="4"/>
      <c r="D637" s="4"/>
      <c r="E637" s="4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24.75" customHeight="1">
      <c r="A638" s="4"/>
      <c r="B638" s="4"/>
      <c r="C638" s="4"/>
      <c r="D638" s="4"/>
      <c r="E638" s="4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24.75" customHeight="1">
      <c r="A639" s="4"/>
      <c r="B639" s="4"/>
      <c r="C639" s="4"/>
      <c r="D639" s="4"/>
      <c r="E639" s="4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24.75" customHeight="1">
      <c r="A640" s="4"/>
      <c r="B640" s="4"/>
      <c r="C640" s="4"/>
      <c r="D640" s="4"/>
      <c r="E640" s="4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24.75" customHeight="1">
      <c r="A641" s="4"/>
      <c r="B641" s="4"/>
      <c r="C641" s="4"/>
      <c r="D641" s="4"/>
      <c r="E641" s="4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24.75" customHeight="1">
      <c r="A642" s="4"/>
      <c r="B642" s="4"/>
      <c r="C642" s="4"/>
      <c r="D642" s="4"/>
      <c r="E642" s="4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24.75" customHeight="1">
      <c r="A643" s="4"/>
      <c r="B643" s="4"/>
      <c r="C643" s="4"/>
      <c r="D643" s="4"/>
      <c r="E643" s="4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24.75" customHeight="1">
      <c r="A644" s="4"/>
      <c r="B644" s="4"/>
      <c r="C644" s="4"/>
      <c r="D644" s="4"/>
      <c r="E644" s="4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24.75" customHeight="1">
      <c r="A645" s="4"/>
      <c r="B645" s="4"/>
      <c r="C645" s="4"/>
      <c r="D645" s="4"/>
      <c r="E645" s="4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24.75" customHeight="1">
      <c r="A646" s="4"/>
      <c r="B646" s="4"/>
      <c r="C646" s="4"/>
      <c r="D646" s="4"/>
      <c r="E646" s="4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24.75" customHeight="1">
      <c r="A647" s="4"/>
      <c r="B647" s="4"/>
      <c r="C647" s="4"/>
      <c r="D647" s="4"/>
      <c r="E647" s="4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24.75" customHeight="1">
      <c r="A648" s="4"/>
      <c r="B648" s="4"/>
      <c r="C648" s="4"/>
      <c r="D648" s="4"/>
      <c r="E648" s="4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24.75" customHeight="1">
      <c r="A649" s="4"/>
      <c r="B649" s="4"/>
      <c r="C649" s="4"/>
      <c r="D649" s="4"/>
      <c r="E649" s="4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24.75" customHeight="1">
      <c r="A650" s="4"/>
      <c r="B650" s="4"/>
      <c r="C650" s="4"/>
      <c r="D650" s="4"/>
      <c r="E650" s="4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24.75" customHeight="1">
      <c r="A651" s="4"/>
      <c r="B651" s="4"/>
      <c r="C651" s="4"/>
      <c r="D651" s="4"/>
      <c r="E651" s="4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24.75" customHeight="1">
      <c r="A652" s="4"/>
      <c r="B652" s="4"/>
      <c r="C652" s="4"/>
      <c r="D652" s="4"/>
      <c r="E652" s="4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24.75" customHeight="1">
      <c r="A653" s="4"/>
      <c r="B653" s="4"/>
      <c r="C653" s="4"/>
      <c r="D653" s="4"/>
      <c r="E653" s="4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24.75" customHeight="1">
      <c r="A654" s="4"/>
      <c r="B654" s="4"/>
      <c r="C654" s="4"/>
      <c r="D654" s="4"/>
      <c r="E654" s="4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24.75" customHeight="1">
      <c r="A655" s="4"/>
      <c r="B655" s="4"/>
      <c r="C655" s="4"/>
      <c r="D655" s="4"/>
      <c r="E655" s="4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24.75" customHeight="1">
      <c r="A656" s="4"/>
      <c r="B656" s="4"/>
      <c r="C656" s="4"/>
      <c r="D656" s="4"/>
      <c r="E656" s="4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24.75" customHeight="1">
      <c r="A657" s="4"/>
      <c r="B657" s="4"/>
      <c r="C657" s="4"/>
      <c r="D657" s="4"/>
      <c r="E657" s="4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24.75" customHeight="1">
      <c r="A658" s="4"/>
      <c r="B658" s="4"/>
      <c r="C658" s="4"/>
      <c r="D658" s="4"/>
      <c r="E658" s="4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24.75" customHeight="1">
      <c r="A659" s="4"/>
      <c r="B659" s="4"/>
      <c r="C659" s="4"/>
      <c r="D659" s="4"/>
      <c r="E659" s="4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24.75" customHeight="1">
      <c r="A660" s="4"/>
      <c r="B660" s="4"/>
      <c r="C660" s="4"/>
      <c r="D660" s="4"/>
      <c r="E660" s="4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24.75" customHeight="1">
      <c r="A661" s="4"/>
      <c r="B661" s="4"/>
      <c r="C661" s="4"/>
      <c r="D661" s="4"/>
      <c r="E661" s="4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24.75" customHeight="1">
      <c r="A662" s="4"/>
      <c r="B662" s="4"/>
      <c r="C662" s="4"/>
      <c r="D662" s="4"/>
      <c r="E662" s="4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24.75" customHeight="1">
      <c r="A663" s="4"/>
      <c r="B663" s="4"/>
      <c r="C663" s="4"/>
      <c r="D663" s="4"/>
      <c r="E663" s="4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24.75" customHeight="1">
      <c r="A664" s="4"/>
      <c r="B664" s="4"/>
      <c r="C664" s="4"/>
      <c r="D664" s="4"/>
      <c r="E664" s="4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24.75" customHeight="1">
      <c r="A665" s="4"/>
      <c r="B665" s="4"/>
      <c r="C665" s="4"/>
      <c r="D665" s="4"/>
      <c r="E665" s="4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24.75" customHeight="1">
      <c r="A666" s="4"/>
      <c r="B666" s="4"/>
      <c r="C666" s="4"/>
      <c r="D666" s="4"/>
      <c r="E666" s="4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24.75" customHeight="1">
      <c r="A667" s="4"/>
      <c r="B667" s="4"/>
      <c r="C667" s="4"/>
      <c r="D667" s="4"/>
      <c r="E667" s="4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24.75" customHeight="1">
      <c r="A668" s="4"/>
      <c r="B668" s="4"/>
      <c r="C668" s="4"/>
      <c r="D668" s="4"/>
      <c r="E668" s="4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24.75" customHeight="1">
      <c r="A669" s="4"/>
      <c r="B669" s="4"/>
      <c r="C669" s="4"/>
      <c r="D669" s="4"/>
      <c r="E669" s="4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24.75" customHeight="1">
      <c r="A670" s="4"/>
      <c r="B670" s="4"/>
      <c r="C670" s="4"/>
      <c r="D670" s="4"/>
      <c r="E670" s="4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24.75" customHeight="1">
      <c r="A671" s="4"/>
      <c r="B671" s="4"/>
      <c r="C671" s="4"/>
      <c r="D671" s="4"/>
      <c r="E671" s="4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24.75" customHeight="1">
      <c r="A672" s="4"/>
      <c r="B672" s="4"/>
      <c r="C672" s="4"/>
      <c r="D672" s="4"/>
      <c r="E672" s="4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24.75" customHeight="1">
      <c r="A673" s="4"/>
      <c r="B673" s="4"/>
      <c r="C673" s="4"/>
      <c r="D673" s="4"/>
      <c r="E673" s="4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24.75" customHeight="1">
      <c r="A674" s="4"/>
      <c r="B674" s="4"/>
      <c r="C674" s="4"/>
      <c r="D674" s="4"/>
      <c r="E674" s="4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24.75" customHeight="1">
      <c r="A675" s="4"/>
      <c r="B675" s="4"/>
      <c r="C675" s="4"/>
      <c r="D675" s="4"/>
      <c r="E675" s="4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24.75" customHeight="1">
      <c r="A676" s="4"/>
      <c r="B676" s="4"/>
      <c r="C676" s="4"/>
      <c r="D676" s="4"/>
      <c r="E676" s="4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24.75" customHeight="1">
      <c r="A677" s="4"/>
      <c r="B677" s="4"/>
      <c r="C677" s="4"/>
      <c r="D677" s="4"/>
      <c r="E677" s="4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24.75" customHeight="1">
      <c r="A678" s="4"/>
      <c r="B678" s="4"/>
      <c r="C678" s="4"/>
      <c r="D678" s="4"/>
      <c r="E678" s="4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24.75" customHeight="1">
      <c r="A679" s="4"/>
      <c r="B679" s="4"/>
      <c r="C679" s="4"/>
      <c r="D679" s="4"/>
      <c r="E679" s="4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24.75" customHeight="1">
      <c r="A680" s="4"/>
      <c r="B680" s="4"/>
      <c r="C680" s="4"/>
      <c r="D680" s="4"/>
      <c r="E680" s="4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24.75" customHeight="1">
      <c r="A681" s="4"/>
      <c r="B681" s="4"/>
      <c r="C681" s="4"/>
      <c r="D681" s="4"/>
      <c r="E681" s="4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24.75" customHeight="1">
      <c r="A682" s="4"/>
      <c r="B682" s="4"/>
      <c r="C682" s="4"/>
      <c r="D682" s="4"/>
      <c r="E682" s="4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24.75" customHeight="1">
      <c r="A683" s="4"/>
      <c r="B683" s="4"/>
      <c r="C683" s="4"/>
      <c r="D683" s="4"/>
      <c r="E683" s="4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24.75" customHeight="1">
      <c r="A684" s="4"/>
      <c r="B684" s="4"/>
      <c r="C684" s="4"/>
      <c r="D684" s="4"/>
      <c r="E684" s="4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24.75" customHeight="1">
      <c r="A685" s="4"/>
      <c r="B685" s="4"/>
      <c r="C685" s="4"/>
      <c r="D685" s="4"/>
      <c r="E685" s="4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24.75" customHeight="1">
      <c r="A686" s="4"/>
      <c r="B686" s="4"/>
      <c r="C686" s="4"/>
      <c r="D686" s="4"/>
      <c r="E686" s="4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24.75" customHeight="1">
      <c r="A687" s="4"/>
      <c r="B687" s="4"/>
      <c r="C687" s="4"/>
      <c r="D687" s="4"/>
      <c r="E687" s="4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24.75" customHeight="1">
      <c r="A688" s="4"/>
      <c r="B688" s="4"/>
      <c r="C688" s="4"/>
      <c r="D688" s="4"/>
      <c r="E688" s="4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24.75" customHeight="1">
      <c r="A689" s="4"/>
      <c r="B689" s="4"/>
      <c r="C689" s="4"/>
      <c r="D689" s="4"/>
      <c r="E689" s="4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24.75" customHeight="1">
      <c r="A690" s="4"/>
      <c r="B690" s="4"/>
      <c r="C690" s="4"/>
      <c r="D690" s="4"/>
      <c r="E690" s="4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24.75" customHeight="1">
      <c r="A691" s="4"/>
      <c r="B691" s="4"/>
      <c r="C691" s="4"/>
      <c r="D691" s="4"/>
      <c r="E691" s="4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24.75" customHeight="1">
      <c r="A692" s="4"/>
      <c r="B692" s="4"/>
      <c r="C692" s="4"/>
      <c r="D692" s="4"/>
      <c r="E692" s="4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24.75" customHeight="1">
      <c r="A693" s="4"/>
      <c r="B693" s="4"/>
      <c r="C693" s="4"/>
      <c r="D693" s="4"/>
      <c r="E693" s="4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24.75" customHeight="1">
      <c r="A694" s="4"/>
      <c r="B694" s="4"/>
      <c r="C694" s="4"/>
      <c r="D694" s="4"/>
      <c r="E694" s="4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24.75" customHeight="1">
      <c r="A695" s="4"/>
      <c r="B695" s="4"/>
      <c r="C695" s="4"/>
      <c r="D695" s="4"/>
      <c r="E695" s="4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24.75" customHeight="1">
      <c r="A696" s="4"/>
      <c r="B696" s="4"/>
      <c r="C696" s="4"/>
      <c r="D696" s="4"/>
      <c r="E696" s="4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24.75" customHeight="1">
      <c r="A697" s="4"/>
      <c r="B697" s="4"/>
      <c r="C697" s="4"/>
      <c r="D697" s="4"/>
      <c r="E697" s="4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24.75" customHeight="1">
      <c r="A698" s="4"/>
      <c r="B698" s="4"/>
      <c r="C698" s="4"/>
      <c r="D698" s="4"/>
      <c r="E698" s="4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24.75" customHeight="1">
      <c r="A699" s="4"/>
      <c r="B699" s="4"/>
      <c r="C699" s="4"/>
      <c r="D699" s="4"/>
      <c r="E699" s="4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24.75" customHeight="1">
      <c r="A700" s="4"/>
      <c r="B700" s="4"/>
      <c r="C700" s="4"/>
      <c r="D700" s="4"/>
      <c r="E700" s="4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24.75" customHeight="1">
      <c r="A701" s="4"/>
      <c r="B701" s="4"/>
      <c r="C701" s="4"/>
      <c r="D701" s="4"/>
      <c r="E701" s="4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24.75" customHeight="1">
      <c r="A702" s="4"/>
      <c r="B702" s="4"/>
      <c r="C702" s="4"/>
      <c r="D702" s="4"/>
      <c r="E702" s="4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24.75" customHeight="1">
      <c r="A703" s="4"/>
      <c r="B703" s="4"/>
      <c r="C703" s="4"/>
      <c r="D703" s="4"/>
      <c r="E703" s="4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24.75" customHeight="1">
      <c r="A704" s="4"/>
      <c r="B704" s="4"/>
      <c r="C704" s="4"/>
      <c r="D704" s="4"/>
      <c r="E704" s="4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24.75" customHeight="1">
      <c r="A705" s="4"/>
      <c r="B705" s="4"/>
      <c r="C705" s="4"/>
      <c r="D705" s="4"/>
      <c r="E705" s="4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24.75" customHeight="1">
      <c r="A706" s="4"/>
      <c r="B706" s="4"/>
      <c r="C706" s="4"/>
      <c r="D706" s="4"/>
      <c r="E706" s="4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24.75" customHeight="1">
      <c r="A707" s="4"/>
      <c r="B707" s="4"/>
      <c r="C707" s="4"/>
      <c r="D707" s="4"/>
      <c r="E707" s="4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24.75" customHeight="1">
      <c r="A708" s="4"/>
      <c r="B708" s="4"/>
      <c r="C708" s="4"/>
      <c r="D708" s="4"/>
      <c r="E708" s="4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24.75" customHeight="1">
      <c r="A709" s="4"/>
      <c r="B709" s="4"/>
      <c r="C709" s="4"/>
      <c r="D709" s="4"/>
      <c r="E709" s="4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24.75" customHeight="1">
      <c r="A710" s="4"/>
      <c r="B710" s="4"/>
      <c r="C710" s="4"/>
      <c r="D710" s="4"/>
      <c r="E710" s="4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24.75" customHeight="1">
      <c r="A711" s="4"/>
      <c r="B711" s="4"/>
      <c r="C711" s="4"/>
      <c r="D711" s="4"/>
      <c r="E711" s="4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24.75" customHeight="1">
      <c r="A712" s="4"/>
      <c r="B712" s="4"/>
      <c r="C712" s="4"/>
      <c r="D712" s="4"/>
      <c r="E712" s="4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24.75" customHeight="1">
      <c r="A713" s="4"/>
      <c r="B713" s="4"/>
      <c r="C713" s="4"/>
      <c r="D713" s="4"/>
      <c r="E713" s="4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24.75" customHeight="1">
      <c r="A714" s="4"/>
      <c r="B714" s="4"/>
      <c r="C714" s="4"/>
      <c r="D714" s="4"/>
      <c r="E714" s="4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24.75" customHeight="1">
      <c r="A715" s="4"/>
      <c r="B715" s="4"/>
      <c r="C715" s="4"/>
      <c r="D715" s="4"/>
      <c r="E715" s="4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24.75" customHeight="1">
      <c r="A716" s="4"/>
      <c r="B716" s="4"/>
      <c r="C716" s="4"/>
      <c r="D716" s="4"/>
      <c r="E716" s="4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24.75" customHeight="1">
      <c r="A717" s="4"/>
      <c r="B717" s="4"/>
      <c r="C717" s="4"/>
      <c r="D717" s="4"/>
      <c r="E717" s="4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24.75" customHeight="1">
      <c r="A718" s="4"/>
      <c r="B718" s="4"/>
      <c r="C718" s="4"/>
      <c r="D718" s="4"/>
      <c r="E718" s="4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24.75" customHeight="1">
      <c r="A719" s="4"/>
      <c r="B719" s="4"/>
      <c r="C719" s="4"/>
      <c r="D719" s="4"/>
      <c r="E719" s="4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24.75" customHeight="1">
      <c r="A720" s="4"/>
      <c r="B720" s="4"/>
      <c r="C720" s="4"/>
      <c r="D720" s="4"/>
      <c r="E720" s="4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24.75" customHeight="1">
      <c r="A721" s="4"/>
      <c r="B721" s="4"/>
      <c r="C721" s="4"/>
      <c r="D721" s="4"/>
      <c r="E721" s="4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24.75" customHeight="1">
      <c r="A722" s="4"/>
      <c r="B722" s="4"/>
      <c r="C722" s="4"/>
      <c r="D722" s="4"/>
      <c r="E722" s="4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24.75" customHeight="1">
      <c r="A723" s="4"/>
      <c r="B723" s="4"/>
      <c r="C723" s="4"/>
      <c r="D723" s="4"/>
      <c r="E723" s="4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24.75" customHeight="1">
      <c r="A724" s="4"/>
      <c r="B724" s="4"/>
      <c r="C724" s="4"/>
      <c r="D724" s="4"/>
      <c r="E724" s="4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24.75" customHeight="1">
      <c r="A725" s="4"/>
      <c r="B725" s="4"/>
      <c r="C725" s="4"/>
      <c r="D725" s="4"/>
      <c r="E725" s="4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24.75" customHeight="1">
      <c r="A726" s="4"/>
      <c r="B726" s="4"/>
      <c r="C726" s="4"/>
      <c r="D726" s="4"/>
      <c r="E726" s="4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24.75" customHeight="1">
      <c r="A727" s="4"/>
      <c r="B727" s="4"/>
      <c r="C727" s="4"/>
      <c r="D727" s="4"/>
      <c r="E727" s="4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24.75" customHeight="1">
      <c r="A728" s="4"/>
      <c r="B728" s="4"/>
      <c r="C728" s="4"/>
      <c r="D728" s="4"/>
      <c r="E728" s="4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24.75" customHeight="1">
      <c r="A729" s="4"/>
      <c r="B729" s="4"/>
      <c r="C729" s="4"/>
      <c r="D729" s="4"/>
      <c r="E729" s="4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24.75" customHeight="1">
      <c r="A730" s="4"/>
      <c r="B730" s="4"/>
      <c r="C730" s="4"/>
      <c r="D730" s="4"/>
      <c r="E730" s="4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24.75" customHeight="1">
      <c r="A731" s="4"/>
      <c r="B731" s="4"/>
      <c r="C731" s="4"/>
      <c r="D731" s="4"/>
      <c r="E731" s="4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24.75" customHeight="1">
      <c r="A732" s="4"/>
      <c r="B732" s="4"/>
      <c r="C732" s="4"/>
      <c r="D732" s="4"/>
      <c r="E732" s="4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24.75" customHeight="1">
      <c r="A733" s="4"/>
      <c r="B733" s="4"/>
      <c r="C733" s="4"/>
      <c r="D733" s="4"/>
      <c r="E733" s="4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24.75" customHeight="1">
      <c r="A734" s="4"/>
      <c r="B734" s="4"/>
      <c r="C734" s="4"/>
      <c r="D734" s="4"/>
      <c r="E734" s="4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24.75" customHeight="1">
      <c r="A735" s="4"/>
      <c r="B735" s="4"/>
      <c r="C735" s="4"/>
      <c r="D735" s="4"/>
      <c r="E735" s="4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24.75" customHeight="1">
      <c r="A736" s="4"/>
      <c r="B736" s="4"/>
      <c r="C736" s="4"/>
      <c r="D736" s="4"/>
      <c r="E736" s="4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24.75" customHeight="1">
      <c r="A737" s="4"/>
      <c r="B737" s="4"/>
      <c r="C737" s="4"/>
      <c r="D737" s="4"/>
      <c r="E737" s="4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24.75" customHeight="1">
      <c r="A738" s="4"/>
      <c r="B738" s="4"/>
      <c r="C738" s="4"/>
      <c r="D738" s="4"/>
      <c r="E738" s="4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24.75" customHeight="1">
      <c r="A739" s="4"/>
      <c r="B739" s="4"/>
      <c r="C739" s="4"/>
      <c r="D739" s="4"/>
      <c r="E739" s="4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24.75" customHeight="1">
      <c r="A740" s="4"/>
      <c r="B740" s="4"/>
      <c r="C740" s="4"/>
      <c r="D740" s="4"/>
      <c r="E740" s="4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24.75" customHeight="1">
      <c r="A741" s="4"/>
      <c r="B741" s="4"/>
      <c r="C741" s="4"/>
      <c r="D741" s="4"/>
      <c r="E741" s="4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24.75" customHeight="1">
      <c r="A742" s="4"/>
      <c r="B742" s="4"/>
      <c r="C742" s="4"/>
      <c r="D742" s="4"/>
      <c r="E742" s="4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24.75" customHeight="1">
      <c r="A743" s="4"/>
      <c r="B743" s="4"/>
      <c r="C743" s="4"/>
      <c r="D743" s="4"/>
      <c r="E743" s="4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24.75" customHeight="1">
      <c r="A744" s="4"/>
      <c r="B744" s="4"/>
      <c r="C744" s="4"/>
      <c r="D744" s="4"/>
      <c r="E744" s="4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24.75" customHeight="1">
      <c r="A745" s="4"/>
      <c r="B745" s="4"/>
      <c r="C745" s="4"/>
      <c r="D745" s="4"/>
      <c r="E745" s="4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24.75" customHeight="1">
      <c r="A746" s="4"/>
      <c r="B746" s="4"/>
      <c r="C746" s="4"/>
      <c r="D746" s="4"/>
      <c r="E746" s="4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24.75" customHeight="1">
      <c r="A747" s="4"/>
      <c r="B747" s="4"/>
      <c r="C747" s="4"/>
      <c r="D747" s="4"/>
      <c r="E747" s="4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24.75" customHeight="1">
      <c r="A748" s="4"/>
      <c r="B748" s="4"/>
      <c r="C748" s="4"/>
      <c r="D748" s="4"/>
      <c r="E748" s="4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24.75" customHeight="1">
      <c r="A749" s="4"/>
      <c r="B749" s="4"/>
      <c r="C749" s="4"/>
      <c r="D749" s="4"/>
      <c r="E749" s="4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24.75" customHeight="1">
      <c r="A750" s="4"/>
      <c r="B750" s="4"/>
      <c r="C750" s="4"/>
      <c r="D750" s="4"/>
      <c r="E750" s="4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24.75" customHeight="1">
      <c r="A751" s="4"/>
      <c r="B751" s="4"/>
      <c r="C751" s="4"/>
      <c r="D751" s="4"/>
      <c r="E751" s="4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24.75" customHeight="1">
      <c r="A752" s="4"/>
      <c r="B752" s="4"/>
      <c r="C752" s="4"/>
      <c r="D752" s="4"/>
      <c r="E752" s="4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24.75" customHeight="1">
      <c r="A753" s="4"/>
      <c r="B753" s="4"/>
      <c r="C753" s="4"/>
      <c r="D753" s="4"/>
      <c r="E753" s="4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24.75" customHeight="1">
      <c r="A754" s="4"/>
      <c r="B754" s="4"/>
      <c r="C754" s="4"/>
      <c r="D754" s="4"/>
      <c r="E754" s="4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24.75" customHeight="1">
      <c r="A755" s="4"/>
      <c r="B755" s="4"/>
      <c r="C755" s="4"/>
      <c r="D755" s="4"/>
      <c r="E755" s="4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24.75" customHeight="1">
      <c r="A756" s="4"/>
      <c r="B756" s="4"/>
      <c r="C756" s="4"/>
      <c r="D756" s="4"/>
      <c r="E756" s="4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24.75" customHeight="1">
      <c r="A757" s="4"/>
      <c r="B757" s="4"/>
      <c r="C757" s="4"/>
      <c r="D757" s="4"/>
      <c r="E757" s="4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24.75" customHeight="1">
      <c r="A758" s="4"/>
      <c r="B758" s="4"/>
      <c r="C758" s="4"/>
      <c r="D758" s="4"/>
      <c r="E758" s="4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24.75" customHeight="1">
      <c r="A759" s="4"/>
      <c r="B759" s="4"/>
      <c r="C759" s="4"/>
      <c r="D759" s="4"/>
      <c r="E759" s="4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24.75" customHeight="1">
      <c r="A760" s="4"/>
      <c r="B760" s="4"/>
      <c r="C760" s="4"/>
      <c r="D760" s="4"/>
      <c r="E760" s="4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24.75" customHeight="1">
      <c r="A761" s="4"/>
      <c r="B761" s="4"/>
      <c r="C761" s="4"/>
      <c r="D761" s="4"/>
      <c r="E761" s="4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24.75" customHeight="1">
      <c r="A762" s="4"/>
      <c r="B762" s="4"/>
      <c r="C762" s="4"/>
      <c r="D762" s="4"/>
      <c r="E762" s="4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24.75" customHeight="1">
      <c r="A763" s="4"/>
      <c r="B763" s="4"/>
      <c r="C763" s="4"/>
      <c r="D763" s="4"/>
      <c r="E763" s="4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24.75" customHeight="1">
      <c r="A764" s="4"/>
      <c r="B764" s="4"/>
      <c r="C764" s="4"/>
      <c r="D764" s="4"/>
      <c r="E764" s="4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24.75" customHeight="1">
      <c r="A765" s="4"/>
      <c r="B765" s="4"/>
      <c r="C765" s="4"/>
      <c r="D765" s="4"/>
      <c r="E765" s="4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24.75" customHeight="1">
      <c r="A766" s="4"/>
      <c r="B766" s="4"/>
      <c r="C766" s="4"/>
      <c r="D766" s="4"/>
      <c r="E766" s="4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24.75" customHeight="1">
      <c r="A767" s="4"/>
      <c r="B767" s="4"/>
      <c r="C767" s="4"/>
      <c r="D767" s="4"/>
      <c r="E767" s="4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24.75" customHeight="1">
      <c r="A768" s="4"/>
      <c r="B768" s="4"/>
      <c r="C768" s="4"/>
      <c r="D768" s="4"/>
      <c r="E768" s="4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24.75" customHeight="1">
      <c r="A769" s="4"/>
      <c r="B769" s="4"/>
      <c r="C769" s="4"/>
      <c r="D769" s="4"/>
      <c r="E769" s="4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24.75" customHeight="1">
      <c r="A770" s="4"/>
      <c r="B770" s="4"/>
      <c r="C770" s="4"/>
      <c r="D770" s="4"/>
      <c r="E770" s="4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24.75" customHeight="1">
      <c r="A771" s="4"/>
      <c r="B771" s="4"/>
      <c r="C771" s="4"/>
      <c r="D771" s="4"/>
      <c r="E771" s="4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24.75" customHeight="1">
      <c r="A772" s="4"/>
      <c r="B772" s="4"/>
      <c r="C772" s="4"/>
      <c r="D772" s="4"/>
      <c r="E772" s="4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24.75" customHeight="1">
      <c r="A773" s="4"/>
      <c r="B773" s="4"/>
      <c r="C773" s="4"/>
      <c r="D773" s="4"/>
      <c r="E773" s="4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24.75" customHeight="1">
      <c r="A774" s="4"/>
      <c r="B774" s="4"/>
      <c r="C774" s="4"/>
      <c r="D774" s="4"/>
      <c r="E774" s="4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24.75" customHeight="1">
      <c r="A775" s="4"/>
      <c r="B775" s="4"/>
      <c r="C775" s="4"/>
      <c r="D775" s="4"/>
      <c r="E775" s="4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24.75" customHeight="1">
      <c r="A776" s="4"/>
      <c r="B776" s="4"/>
      <c r="C776" s="4"/>
      <c r="D776" s="4"/>
      <c r="E776" s="4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24.75" customHeight="1">
      <c r="A777" s="4"/>
      <c r="B777" s="4"/>
      <c r="C777" s="4"/>
      <c r="D777" s="4"/>
      <c r="E777" s="4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24.75" customHeight="1">
      <c r="A778" s="4"/>
      <c r="B778" s="4"/>
      <c r="C778" s="4"/>
      <c r="D778" s="4"/>
      <c r="E778" s="4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24.75" customHeight="1">
      <c r="A779" s="4"/>
      <c r="B779" s="4"/>
      <c r="C779" s="4"/>
      <c r="D779" s="4"/>
      <c r="E779" s="4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24.75" customHeight="1">
      <c r="A780" s="4"/>
      <c r="B780" s="4"/>
      <c r="C780" s="4"/>
      <c r="D780" s="4"/>
      <c r="E780" s="4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24.75" customHeight="1">
      <c r="A781" s="4"/>
      <c r="B781" s="4"/>
      <c r="C781" s="4"/>
      <c r="D781" s="4"/>
      <c r="E781" s="4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24.75" customHeight="1">
      <c r="A782" s="4"/>
      <c r="B782" s="4"/>
      <c r="C782" s="4"/>
      <c r="D782" s="4"/>
      <c r="E782" s="4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24.75" customHeight="1">
      <c r="A783" s="4"/>
      <c r="B783" s="4"/>
      <c r="C783" s="4"/>
      <c r="D783" s="4"/>
      <c r="E783" s="4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24.75" customHeight="1">
      <c r="A784" s="4"/>
      <c r="B784" s="4"/>
      <c r="C784" s="4"/>
      <c r="D784" s="4"/>
      <c r="E784" s="4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24.75" customHeight="1">
      <c r="A785" s="4"/>
      <c r="B785" s="4"/>
      <c r="C785" s="4"/>
      <c r="D785" s="4"/>
      <c r="E785" s="4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24.75" customHeight="1">
      <c r="A786" s="4"/>
      <c r="B786" s="4"/>
      <c r="C786" s="4"/>
      <c r="D786" s="4"/>
      <c r="E786" s="4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24.75" customHeight="1">
      <c r="A787" s="4"/>
      <c r="B787" s="4"/>
      <c r="C787" s="4"/>
      <c r="D787" s="4"/>
      <c r="E787" s="4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24.75" customHeight="1">
      <c r="A788" s="4"/>
      <c r="B788" s="4"/>
      <c r="C788" s="4"/>
      <c r="D788" s="4"/>
      <c r="E788" s="4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24.75" customHeight="1">
      <c r="A789" s="4"/>
      <c r="B789" s="4"/>
      <c r="C789" s="4"/>
      <c r="D789" s="4"/>
      <c r="E789" s="4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24.75" customHeight="1">
      <c r="A790" s="4"/>
      <c r="B790" s="4"/>
      <c r="C790" s="4"/>
      <c r="D790" s="4"/>
      <c r="E790" s="4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24.75" customHeight="1">
      <c r="A791" s="4"/>
      <c r="B791" s="4"/>
      <c r="C791" s="4"/>
      <c r="D791" s="4"/>
      <c r="E791" s="4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24.75" customHeight="1">
      <c r="A792" s="4"/>
      <c r="B792" s="4"/>
      <c r="C792" s="4"/>
      <c r="D792" s="4"/>
      <c r="E792" s="4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24.75" customHeight="1">
      <c r="A793" s="4"/>
      <c r="B793" s="4"/>
      <c r="C793" s="4"/>
      <c r="D793" s="4"/>
      <c r="E793" s="4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24.75" customHeight="1">
      <c r="A794" s="4"/>
      <c r="B794" s="4"/>
      <c r="C794" s="4"/>
      <c r="D794" s="4"/>
      <c r="E794" s="4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24.75" customHeight="1">
      <c r="A795" s="4"/>
      <c r="B795" s="4"/>
      <c r="C795" s="4"/>
      <c r="D795" s="4"/>
      <c r="E795" s="4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24.75" customHeight="1">
      <c r="A796" s="4"/>
      <c r="B796" s="4"/>
      <c r="C796" s="4"/>
      <c r="D796" s="4"/>
      <c r="E796" s="4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24.75" customHeight="1">
      <c r="A797" s="4"/>
      <c r="B797" s="4"/>
      <c r="C797" s="4"/>
      <c r="D797" s="4"/>
      <c r="E797" s="4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24.75" customHeight="1">
      <c r="A798" s="4"/>
      <c r="B798" s="4"/>
      <c r="C798" s="4"/>
      <c r="D798" s="4"/>
      <c r="E798" s="4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24.75" customHeight="1">
      <c r="A799" s="4"/>
      <c r="B799" s="4"/>
      <c r="C799" s="4"/>
      <c r="D799" s="4"/>
      <c r="E799" s="4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24.75" customHeight="1">
      <c r="A800" s="4"/>
      <c r="B800" s="4"/>
      <c r="C800" s="4"/>
      <c r="D800" s="4"/>
      <c r="E800" s="4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24.75" customHeight="1">
      <c r="A801" s="4"/>
      <c r="B801" s="4"/>
      <c r="C801" s="4"/>
      <c r="D801" s="4"/>
      <c r="E801" s="4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24.75" customHeight="1">
      <c r="A802" s="4"/>
      <c r="B802" s="4"/>
      <c r="C802" s="4"/>
      <c r="D802" s="4"/>
      <c r="E802" s="4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24.75" customHeight="1">
      <c r="A803" s="4"/>
      <c r="B803" s="4"/>
      <c r="C803" s="4"/>
      <c r="D803" s="4"/>
      <c r="E803" s="4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24.75" customHeight="1">
      <c r="A804" s="4"/>
      <c r="B804" s="4"/>
      <c r="C804" s="4"/>
      <c r="D804" s="4"/>
      <c r="E804" s="4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24.75" customHeight="1">
      <c r="A805" s="4"/>
      <c r="B805" s="4"/>
      <c r="C805" s="4"/>
      <c r="D805" s="4"/>
      <c r="E805" s="4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24.75" customHeight="1">
      <c r="A806" s="4"/>
      <c r="B806" s="4"/>
      <c r="C806" s="4"/>
      <c r="D806" s="4"/>
      <c r="E806" s="4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24.75" customHeight="1">
      <c r="A807" s="4"/>
      <c r="B807" s="4"/>
      <c r="C807" s="4"/>
      <c r="D807" s="4"/>
      <c r="E807" s="4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24.75" customHeight="1">
      <c r="A808" s="4"/>
      <c r="B808" s="4"/>
      <c r="C808" s="4"/>
      <c r="D808" s="4"/>
      <c r="E808" s="4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24.75" customHeight="1">
      <c r="A809" s="4"/>
      <c r="B809" s="4"/>
      <c r="C809" s="4"/>
      <c r="D809" s="4"/>
      <c r="E809" s="4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24.75" customHeight="1">
      <c r="A810" s="4"/>
      <c r="B810" s="4"/>
      <c r="C810" s="4"/>
      <c r="D810" s="4"/>
      <c r="E810" s="4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24.75" customHeight="1">
      <c r="A811" s="4"/>
      <c r="B811" s="4"/>
      <c r="C811" s="4"/>
      <c r="D811" s="4"/>
      <c r="E811" s="4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24.75" customHeight="1">
      <c r="A812" s="4"/>
      <c r="B812" s="4"/>
      <c r="C812" s="4"/>
      <c r="D812" s="4"/>
      <c r="E812" s="4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24.75" customHeight="1">
      <c r="A813" s="4"/>
      <c r="B813" s="4"/>
      <c r="C813" s="4"/>
      <c r="D813" s="4"/>
      <c r="E813" s="4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24.75" customHeight="1">
      <c r="A814" s="4"/>
      <c r="B814" s="4"/>
      <c r="C814" s="4"/>
      <c r="D814" s="4"/>
      <c r="E814" s="4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24.75" customHeight="1">
      <c r="A815" s="4"/>
      <c r="B815" s="4"/>
      <c r="C815" s="4"/>
      <c r="D815" s="4"/>
      <c r="E815" s="4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24.75" customHeight="1">
      <c r="A816" s="4"/>
      <c r="B816" s="4"/>
      <c r="C816" s="4"/>
      <c r="D816" s="4"/>
      <c r="E816" s="4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24.75" customHeight="1">
      <c r="A817" s="4"/>
      <c r="B817" s="4"/>
      <c r="C817" s="4"/>
      <c r="D817" s="4"/>
      <c r="E817" s="4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24.75" customHeight="1">
      <c r="A818" s="4"/>
      <c r="B818" s="4"/>
      <c r="C818" s="4"/>
      <c r="D818" s="4"/>
      <c r="E818" s="4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24.75" customHeight="1">
      <c r="A819" s="4"/>
      <c r="B819" s="4"/>
      <c r="C819" s="4"/>
      <c r="D819" s="4"/>
      <c r="E819" s="4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24.75" customHeight="1">
      <c r="A820" s="4"/>
      <c r="B820" s="4"/>
      <c r="C820" s="4"/>
      <c r="D820" s="4"/>
      <c r="E820" s="4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24.75" customHeight="1">
      <c r="A821" s="4"/>
      <c r="B821" s="4"/>
      <c r="C821" s="4"/>
      <c r="D821" s="4"/>
      <c r="E821" s="4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24.75" customHeight="1">
      <c r="A822" s="4"/>
      <c r="B822" s="4"/>
      <c r="C822" s="4"/>
      <c r="D822" s="4"/>
      <c r="E822" s="4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24.75" customHeight="1">
      <c r="A823" s="4"/>
      <c r="B823" s="4"/>
      <c r="C823" s="4"/>
      <c r="D823" s="4"/>
      <c r="E823" s="4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24.75" customHeight="1">
      <c r="A824" s="4"/>
      <c r="B824" s="4"/>
      <c r="C824" s="4"/>
      <c r="D824" s="4"/>
      <c r="E824" s="4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24.75" customHeight="1">
      <c r="A825" s="4"/>
      <c r="B825" s="4"/>
      <c r="C825" s="4"/>
      <c r="D825" s="4"/>
      <c r="E825" s="4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24.75" customHeight="1">
      <c r="A826" s="4"/>
      <c r="B826" s="4"/>
      <c r="C826" s="4"/>
      <c r="D826" s="4"/>
      <c r="E826" s="4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24.75" customHeight="1">
      <c r="A827" s="4"/>
      <c r="B827" s="4"/>
      <c r="C827" s="4"/>
      <c r="D827" s="4"/>
      <c r="E827" s="4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24.75" customHeight="1">
      <c r="A828" s="4"/>
      <c r="B828" s="4"/>
      <c r="C828" s="4"/>
      <c r="D828" s="4"/>
      <c r="E828" s="4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24.75" customHeight="1">
      <c r="A829" s="4"/>
      <c r="B829" s="4"/>
      <c r="C829" s="4"/>
      <c r="D829" s="4"/>
      <c r="E829" s="4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24.75" customHeight="1">
      <c r="A830" s="4"/>
      <c r="B830" s="4"/>
      <c r="C830" s="4"/>
      <c r="D830" s="4"/>
      <c r="E830" s="4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24.75" customHeight="1">
      <c r="A831" s="4"/>
      <c r="B831" s="4"/>
      <c r="C831" s="4"/>
      <c r="D831" s="4"/>
      <c r="E831" s="4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24.75" customHeight="1">
      <c r="A832" s="4"/>
      <c r="B832" s="4"/>
      <c r="C832" s="4"/>
      <c r="D832" s="4"/>
      <c r="E832" s="4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24.75" customHeight="1">
      <c r="A833" s="4"/>
      <c r="B833" s="4"/>
      <c r="C833" s="4"/>
      <c r="D833" s="4"/>
      <c r="E833" s="4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24.75" customHeight="1">
      <c r="A834" s="4"/>
      <c r="B834" s="4"/>
      <c r="C834" s="4"/>
      <c r="D834" s="4"/>
      <c r="E834" s="4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24.75" customHeight="1">
      <c r="A835" s="4"/>
      <c r="B835" s="4"/>
      <c r="C835" s="4"/>
      <c r="D835" s="4"/>
      <c r="E835" s="4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24.75" customHeight="1">
      <c r="A836" s="4"/>
      <c r="B836" s="4"/>
      <c r="C836" s="4"/>
      <c r="D836" s="4"/>
      <c r="E836" s="4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24.75" customHeight="1">
      <c r="A837" s="4"/>
      <c r="B837" s="4"/>
      <c r="C837" s="4"/>
      <c r="D837" s="4"/>
      <c r="E837" s="4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24.75" customHeight="1">
      <c r="A838" s="4"/>
      <c r="B838" s="4"/>
      <c r="C838" s="4"/>
      <c r="D838" s="4"/>
      <c r="E838" s="4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24.75" customHeight="1">
      <c r="A839" s="4"/>
      <c r="B839" s="4"/>
      <c r="C839" s="4"/>
      <c r="D839" s="4"/>
      <c r="E839" s="4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24.75" customHeight="1">
      <c r="A840" s="4"/>
      <c r="B840" s="4"/>
      <c r="C840" s="4"/>
      <c r="D840" s="4"/>
      <c r="E840" s="4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24.75" customHeight="1">
      <c r="A841" s="4"/>
      <c r="B841" s="4"/>
      <c r="C841" s="4"/>
      <c r="D841" s="4"/>
      <c r="E841" s="4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24.75" customHeight="1">
      <c r="A842" s="4"/>
      <c r="B842" s="4"/>
      <c r="C842" s="4"/>
      <c r="D842" s="4"/>
      <c r="E842" s="4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24.75" customHeight="1">
      <c r="A843" s="4"/>
      <c r="B843" s="4"/>
      <c r="C843" s="4"/>
      <c r="D843" s="4"/>
      <c r="E843" s="4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24.75" customHeight="1">
      <c r="A844" s="4"/>
      <c r="B844" s="4"/>
      <c r="C844" s="4"/>
      <c r="D844" s="4"/>
      <c r="E844" s="4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24.75" customHeight="1">
      <c r="A845" s="4"/>
      <c r="B845" s="4"/>
      <c r="C845" s="4"/>
      <c r="D845" s="4"/>
      <c r="E845" s="4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24.75" customHeight="1">
      <c r="A846" s="4"/>
      <c r="B846" s="4"/>
      <c r="C846" s="4"/>
      <c r="D846" s="4"/>
      <c r="E846" s="4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24.75" customHeight="1">
      <c r="A847" s="4"/>
      <c r="B847" s="4"/>
      <c r="C847" s="4"/>
      <c r="D847" s="4"/>
      <c r="E847" s="4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24.75" customHeight="1">
      <c r="A848" s="4"/>
      <c r="B848" s="4"/>
      <c r="C848" s="4"/>
      <c r="D848" s="4"/>
      <c r="E848" s="4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24.75" customHeight="1">
      <c r="A849" s="4"/>
      <c r="B849" s="4"/>
      <c r="C849" s="4"/>
      <c r="D849" s="4"/>
      <c r="E849" s="4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24.75" customHeight="1">
      <c r="A850" s="4"/>
      <c r="B850" s="4"/>
      <c r="C850" s="4"/>
      <c r="D850" s="4"/>
      <c r="E850" s="4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24.75" customHeight="1">
      <c r="A851" s="4"/>
      <c r="B851" s="4"/>
      <c r="C851" s="4"/>
      <c r="D851" s="4"/>
      <c r="E851" s="4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24.75" customHeight="1">
      <c r="A852" s="4"/>
      <c r="B852" s="4"/>
      <c r="C852" s="4"/>
      <c r="D852" s="4"/>
      <c r="E852" s="4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24.75" customHeight="1">
      <c r="A853" s="4"/>
      <c r="B853" s="4"/>
      <c r="C853" s="4"/>
      <c r="D853" s="4"/>
      <c r="E853" s="4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24.75" customHeight="1">
      <c r="A854" s="4"/>
      <c r="B854" s="4"/>
      <c r="C854" s="4"/>
      <c r="D854" s="4"/>
      <c r="E854" s="4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24.75" customHeight="1">
      <c r="A855" s="4"/>
      <c r="B855" s="4"/>
      <c r="C855" s="4"/>
      <c r="D855" s="4"/>
      <c r="E855" s="4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24.75" customHeight="1">
      <c r="A856" s="4"/>
      <c r="B856" s="4"/>
      <c r="C856" s="4"/>
      <c r="D856" s="4"/>
      <c r="E856" s="4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24.75" customHeight="1">
      <c r="A857" s="4"/>
      <c r="B857" s="4"/>
      <c r="C857" s="4"/>
      <c r="D857" s="4"/>
      <c r="E857" s="4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24.75" customHeight="1">
      <c r="A858" s="4"/>
      <c r="B858" s="4"/>
      <c r="C858" s="4"/>
      <c r="D858" s="4"/>
      <c r="E858" s="4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24.75" customHeight="1">
      <c r="A859" s="4"/>
      <c r="B859" s="4"/>
      <c r="C859" s="4"/>
      <c r="D859" s="4"/>
      <c r="E859" s="4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24.75" customHeight="1">
      <c r="A860" s="4"/>
      <c r="B860" s="4"/>
      <c r="C860" s="4"/>
      <c r="D860" s="4"/>
      <c r="E860" s="4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24.75" customHeight="1">
      <c r="A861" s="4"/>
      <c r="B861" s="4"/>
      <c r="C861" s="4"/>
      <c r="D861" s="4"/>
      <c r="E861" s="4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24.75" customHeight="1">
      <c r="A862" s="4"/>
      <c r="B862" s="4"/>
      <c r="C862" s="4"/>
      <c r="D862" s="4"/>
      <c r="E862" s="4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24.75" customHeight="1">
      <c r="A863" s="4"/>
      <c r="B863" s="4"/>
      <c r="C863" s="4"/>
      <c r="D863" s="4"/>
      <c r="E863" s="4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24.75" customHeight="1">
      <c r="A864" s="4"/>
      <c r="B864" s="4"/>
      <c r="C864" s="4"/>
      <c r="D864" s="4"/>
      <c r="E864" s="4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24.75" customHeight="1">
      <c r="A865" s="4"/>
      <c r="B865" s="4"/>
      <c r="C865" s="4"/>
      <c r="D865" s="4"/>
      <c r="E865" s="4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24.75" customHeight="1">
      <c r="A866" s="4"/>
      <c r="B866" s="4"/>
      <c r="C866" s="4"/>
      <c r="D866" s="4"/>
      <c r="E866" s="4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24.75" customHeight="1">
      <c r="A867" s="4"/>
      <c r="B867" s="4"/>
      <c r="C867" s="4"/>
      <c r="D867" s="4"/>
      <c r="E867" s="4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24.75" customHeight="1">
      <c r="A868" s="4"/>
      <c r="B868" s="4"/>
      <c r="C868" s="4"/>
      <c r="D868" s="4"/>
      <c r="E868" s="4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24.75" customHeight="1">
      <c r="A869" s="4"/>
      <c r="B869" s="4"/>
      <c r="C869" s="4"/>
      <c r="D869" s="4"/>
      <c r="E869" s="4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24.75" customHeight="1">
      <c r="A870" s="4"/>
      <c r="B870" s="4"/>
      <c r="C870" s="4"/>
      <c r="D870" s="4"/>
      <c r="E870" s="4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24.75" customHeight="1">
      <c r="A871" s="4"/>
      <c r="B871" s="4"/>
      <c r="C871" s="4"/>
      <c r="D871" s="4"/>
      <c r="E871" s="4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24.75" customHeight="1">
      <c r="A872" s="4"/>
      <c r="B872" s="4"/>
      <c r="C872" s="4"/>
      <c r="D872" s="4"/>
      <c r="E872" s="4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24.75" customHeight="1">
      <c r="A873" s="4"/>
      <c r="B873" s="4"/>
      <c r="C873" s="4"/>
      <c r="D873" s="4"/>
      <c r="E873" s="4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24.75" customHeight="1">
      <c r="A874" s="4"/>
      <c r="B874" s="4"/>
      <c r="C874" s="4"/>
      <c r="D874" s="4"/>
      <c r="E874" s="4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24.75" customHeight="1">
      <c r="A875" s="4"/>
      <c r="B875" s="4"/>
      <c r="C875" s="4"/>
      <c r="D875" s="4"/>
      <c r="E875" s="4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24.75" customHeight="1">
      <c r="A876" s="4"/>
      <c r="B876" s="4"/>
      <c r="C876" s="4"/>
      <c r="D876" s="4"/>
      <c r="E876" s="4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24.75" customHeight="1">
      <c r="A877" s="4"/>
      <c r="B877" s="4"/>
      <c r="C877" s="4"/>
      <c r="D877" s="4"/>
      <c r="E877" s="4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24.75" customHeight="1">
      <c r="A878" s="4"/>
      <c r="B878" s="4"/>
      <c r="C878" s="4"/>
      <c r="D878" s="4"/>
      <c r="E878" s="4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24.75" customHeight="1">
      <c r="A879" s="4"/>
      <c r="B879" s="4"/>
      <c r="C879" s="4"/>
      <c r="D879" s="4"/>
      <c r="E879" s="4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24.75" customHeight="1">
      <c r="A880" s="4"/>
      <c r="B880" s="4"/>
      <c r="C880" s="4"/>
      <c r="D880" s="4"/>
      <c r="E880" s="4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24.75" customHeight="1">
      <c r="A881" s="4"/>
      <c r="B881" s="4"/>
      <c r="C881" s="4"/>
      <c r="D881" s="4"/>
      <c r="E881" s="4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24.75" customHeight="1">
      <c r="A882" s="4"/>
      <c r="B882" s="4"/>
      <c r="C882" s="4"/>
      <c r="D882" s="4"/>
      <c r="E882" s="4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24.75" customHeight="1">
      <c r="A883" s="4"/>
      <c r="B883" s="4"/>
      <c r="C883" s="4"/>
      <c r="D883" s="4"/>
      <c r="E883" s="4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24.75" customHeight="1">
      <c r="A884" s="4"/>
      <c r="B884" s="4"/>
      <c r="C884" s="4"/>
      <c r="D884" s="4"/>
      <c r="E884" s="4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24.75" customHeight="1">
      <c r="A885" s="4"/>
      <c r="B885" s="4"/>
      <c r="C885" s="4"/>
      <c r="D885" s="4"/>
      <c r="E885" s="4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24.75" customHeight="1">
      <c r="A886" s="4"/>
      <c r="B886" s="4"/>
      <c r="C886" s="4"/>
      <c r="D886" s="4"/>
      <c r="E886" s="4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24.75" customHeight="1">
      <c r="A887" s="4"/>
      <c r="B887" s="4"/>
      <c r="C887" s="4"/>
      <c r="D887" s="4"/>
      <c r="E887" s="4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24.75" customHeight="1">
      <c r="A888" s="4"/>
      <c r="B888" s="4"/>
      <c r="C888" s="4"/>
      <c r="D888" s="4"/>
      <c r="E888" s="4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24.75" customHeight="1">
      <c r="A889" s="4"/>
      <c r="B889" s="4"/>
      <c r="C889" s="4"/>
      <c r="D889" s="4"/>
      <c r="E889" s="4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24.75" customHeight="1">
      <c r="A890" s="4"/>
      <c r="B890" s="4"/>
      <c r="C890" s="4"/>
      <c r="D890" s="4"/>
      <c r="E890" s="4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24.75" customHeight="1">
      <c r="A891" s="4"/>
      <c r="B891" s="4"/>
      <c r="C891" s="4"/>
      <c r="D891" s="4"/>
      <c r="E891" s="4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24.75" customHeight="1">
      <c r="A892" s="4"/>
      <c r="B892" s="4"/>
      <c r="C892" s="4"/>
      <c r="D892" s="4"/>
      <c r="E892" s="4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24.75" customHeight="1">
      <c r="A893" s="4"/>
      <c r="B893" s="4"/>
      <c r="C893" s="4"/>
      <c r="D893" s="4"/>
      <c r="E893" s="4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24.75" customHeight="1">
      <c r="A894" s="4"/>
      <c r="B894" s="4"/>
      <c r="C894" s="4"/>
      <c r="D894" s="4"/>
      <c r="E894" s="4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24.75" customHeight="1">
      <c r="A895" s="4"/>
      <c r="B895" s="4"/>
      <c r="C895" s="4"/>
      <c r="D895" s="4"/>
      <c r="E895" s="4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24.75" customHeight="1">
      <c r="A896" s="4"/>
      <c r="B896" s="4"/>
      <c r="C896" s="4"/>
      <c r="D896" s="4"/>
      <c r="E896" s="4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24.75" customHeight="1">
      <c r="A897" s="4"/>
      <c r="B897" s="4"/>
      <c r="C897" s="4"/>
      <c r="D897" s="4"/>
      <c r="E897" s="4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24.75" customHeight="1">
      <c r="A898" s="4"/>
      <c r="B898" s="4"/>
      <c r="C898" s="4"/>
      <c r="D898" s="4"/>
      <c r="E898" s="4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24.75" customHeight="1">
      <c r="A899" s="4"/>
      <c r="B899" s="4"/>
      <c r="C899" s="4"/>
      <c r="D899" s="4"/>
      <c r="E899" s="4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24.75" customHeight="1">
      <c r="A900" s="4"/>
      <c r="B900" s="4"/>
      <c r="C900" s="4"/>
      <c r="D900" s="4"/>
      <c r="E900" s="4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24.75" customHeight="1">
      <c r="A901" s="4"/>
      <c r="B901" s="4"/>
      <c r="C901" s="4"/>
      <c r="D901" s="4"/>
      <c r="E901" s="4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24.75" customHeight="1">
      <c r="A902" s="4"/>
      <c r="B902" s="4"/>
      <c r="C902" s="4"/>
      <c r="D902" s="4"/>
      <c r="E902" s="4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24.75" customHeight="1">
      <c r="A903" s="4"/>
      <c r="B903" s="4"/>
      <c r="C903" s="4"/>
      <c r="D903" s="4"/>
      <c r="E903" s="4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24.75" customHeight="1">
      <c r="A904" s="4"/>
      <c r="B904" s="4"/>
      <c r="C904" s="4"/>
      <c r="D904" s="4"/>
      <c r="E904" s="4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24.75" customHeight="1">
      <c r="A905" s="4"/>
      <c r="B905" s="4"/>
      <c r="C905" s="4"/>
      <c r="D905" s="4"/>
      <c r="E905" s="4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24.75" customHeight="1">
      <c r="A906" s="4"/>
      <c r="B906" s="4"/>
      <c r="C906" s="4"/>
      <c r="D906" s="4"/>
      <c r="E906" s="4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24.75" customHeight="1">
      <c r="A907" s="4"/>
      <c r="B907" s="4"/>
      <c r="C907" s="4"/>
      <c r="D907" s="4"/>
      <c r="E907" s="4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24.75" customHeight="1">
      <c r="A908" s="4"/>
      <c r="B908" s="4"/>
      <c r="C908" s="4"/>
      <c r="D908" s="4"/>
      <c r="E908" s="4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24.75" customHeight="1">
      <c r="A909" s="4"/>
      <c r="B909" s="4"/>
      <c r="C909" s="4"/>
      <c r="D909" s="4"/>
      <c r="E909" s="4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24.75" customHeight="1">
      <c r="A910" s="4"/>
      <c r="B910" s="4"/>
      <c r="C910" s="4"/>
      <c r="D910" s="4"/>
      <c r="E910" s="4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24.75" customHeight="1">
      <c r="A911" s="4"/>
      <c r="B911" s="4"/>
      <c r="C911" s="4"/>
      <c r="D911" s="4"/>
      <c r="E911" s="4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24.75" customHeight="1">
      <c r="A912" s="4"/>
      <c r="B912" s="4"/>
      <c r="C912" s="4"/>
      <c r="D912" s="4"/>
      <c r="E912" s="4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24.75" customHeight="1">
      <c r="A913" s="4"/>
      <c r="B913" s="4"/>
      <c r="C913" s="4"/>
      <c r="D913" s="4"/>
      <c r="E913" s="4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24.75" customHeight="1">
      <c r="A914" s="4"/>
      <c r="B914" s="4"/>
      <c r="C914" s="4"/>
      <c r="D914" s="4"/>
      <c r="E914" s="4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24.75" customHeight="1">
      <c r="A915" s="4"/>
      <c r="B915" s="4"/>
      <c r="C915" s="4"/>
      <c r="D915" s="4"/>
      <c r="E915" s="4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24.75" customHeight="1">
      <c r="A916" s="4"/>
      <c r="B916" s="4"/>
      <c r="C916" s="4"/>
      <c r="D916" s="4"/>
      <c r="E916" s="4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24.75" customHeight="1">
      <c r="A917" s="4"/>
      <c r="B917" s="4"/>
      <c r="C917" s="4"/>
      <c r="D917" s="4"/>
      <c r="E917" s="4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24.75" customHeight="1">
      <c r="A918" s="4"/>
      <c r="B918" s="4"/>
      <c r="C918" s="4"/>
      <c r="D918" s="4"/>
      <c r="E918" s="4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24.75" customHeight="1">
      <c r="A919" s="4"/>
      <c r="B919" s="4"/>
      <c r="C919" s="4"/>
      <c r="D919" s="4"/>
      <c r="E919" s="4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24.75" customHeight="1">
      <c r="A920" s="4"/>
      <c r="B920" s="4"/>
      <c r="C920" s="4"/>
      <c r="D920" s="4"/>
      <c r="E920" s="4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24.75" customHeight="1">
      <c r="A921" s="4"/>
      <c r="B921" s="4"/>
      <c r="C921" s="4"/>
      <c r="D921" s="4"/>
      <c r="E921" s="4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24.75" customHeight="1">
      <c r="A922" s="4"/>
      <c r="B922" s="4"/>
      <c r="C922" s="4"/>
      <c r="D922" s="4"/>
      <c r="E922" s="4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24.75" customHeight="1">
      <c r="A923" s="4"/>
      <c r="B923" s="4"/>
      <c r="C923" s="4"/>
      <c r="D923" s="4"/>
      <c r="E923" s="4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24.75" customHeight="1">
      <c r="A924" s="4"/>
      <c r="B924" s="4"/>
      <c r="C924" s="4"/>
      <c r="D924" s="4"/>
      <c r="E924" s="4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24.75" customHeight="1">
      <c r="A925" s="4"/>
      <c r="B925" s="4"/>
      <c r="C925" s="4"/>
      <c r="D925" s="4"/>
      <c r="E925" s="4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24.75" customHeight="1">
      <c r="A926" s="4"/>
      <c r="B926" s="4"/>
      <c r="C926" s="4"/>
      <c r="D926" s="4"/>
      <c r="E926" s="4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24.75" customHeight="1">
      <c r="A927" s="4"/>
      <c r="B927" s="4"/>
      <c r="C927" s="4"/>
      <c r="D927" s="4"/>
      <c r="E927" s="4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24.75" customHeight="1">
      <c r="A928" s="4"/>
      <c r="B928" s="4"/>
      <c r="C928" s="4"/>
      <c r="D928" s="4"/>
      <c r="E928" s="4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24.75" customHeight="1">
      <c r="A929" s="4"/>
      <c r="B929" s="4"/>
      <c r="C929" s="4"/>
      <c r="D929" s="4"/>
      <c r="E929" s="4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24.75" customHeight="1">
      <c r="A930" s="4"/>
      <c r="B930" s="4"/>
      <c r="C930" s="4"/>
      <c r="D930" s="4"/>
      <c r="E930" s="4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24.75" customHeight="1">
      <c r="A931" s="4"/>
      <c r="B931" s="4"/>
      <c r="C931" s="4"/>
      <c r="D931" s="4"/>
      <c r="E931" s="4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24.75" customHeight="1">
      <c r="A932" s="4"/>
      <c r="B932" s="4"/>
      <c r="C932" s="4"/>
      <c r="D932" s="4"/>
      <c r="E932" s="4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24.75" customHeight="1">
      <c r="A933" s="4"/>
      <c r="B933" s="4"/>
      <c r="C933" s="4"/>
      <c r="D933" s="4"/>
      <c r="E933" s="4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24.75" customHeight="1">
      <c r="A934" s="4"/>
      <c r="B934" s="4"/>
      <c r="C934" s="4"/>
      <c r="D934" s="4"/>
      <c r="E934" s="4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24.75" customHeight="1">
      <c r="A935" s="4"/>
      <c r="B935" s="4"/>
      <c r="C935" s="4"/>
      <c r="D935" s="4"/>
      <c r="E935" s="4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24.75" customHeight="1">
      <c r="A936" s="4"/>
      <c r="B936" s="4"/>
      <c r="C936" s="4"/>
      <c r="D936" s="4"/>
      <c r="E936" s="4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24.75" customHeight="1">
      <c r="A937" s="4"/>
      <c r="B937" s="4"/>
      <c r="C937" s="4"/>
      <c r="D937" s="4"/>
      <c r="E937" s="4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24.75" customHeight="1">
      <c r="A938" s="4"/>
      <c r="B938" s="4"/>
      <c r="C938" s="4"/>
      <c r="D938" s="4"/>
      <c r="E938" s="4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24.75" customHeight="1">
      <c r="A939" s="4"/>
      <c r="B939" s="4"/>
      <c r="C939" s="4"/>
      <c r="D939" s="4"/>
      <c r="E939" s="4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24.75" customHeight="1">
      <c r="A940" s="4"/>
      <c r="B940" s="4"/>
      <c r="C940" s="4"/>
      <c r="D940" s="4"/>
      <c r="E940" s="4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24.75" customHeight="1">
      <c r="A941" s="4"/>
      <c r="B941" s="4"/>
      <c r="C941" s="4"/>
      <c r="D941" s="4"/>
      <c r="E941" s="4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24.75" customHeight="1">
      <c r="A942" s="4"/>
      <c r="B942" s="4"/>
      <c r="C942" s="4"/>
      <c r="D942" s="4"/>
      <c r="E942" s="4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24.75" customHeight="1">
      <c r="A943" s="4"/>
      <c r="B943" s="4"/>
      <c r="C943" s="4"/>
      <c r="D943" s="4"/>
      <c r="E943" s="4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24.75" customHeight="1">
      <c r="A944" s="4"/>
      <c r="B944" s="4"/>
      <c r="C944" s="4"/>
      <c r="D944" s="4"/>
      <c r="E944" s="4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24.75" customHeight="1">
      <c r="A945" s="4"/>
      <c r="B945" s="4"/>
      <c r="C945" s="4"/>
      <c r="D945" s="4"/>
      <c r="E945" s="4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24.75" customHeight="1">
      <c r="A946" s="4"/>
      <c r="B946" s="4"/>
      <c r="C946" s="4"/>
      <c r="D946" s="4"/>
      <c r="E946" s="4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24.75" customHeight="1">
      <c r="A947" s="4"/>
      <c r="B947" s="4"/>
      <c r="C947" s="4"/>
      <c r="D947" s="4"/>
      <c r="E947" s="4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24.75" customHeight="1">
      <c r="A948" s="4"/>
      <c r="B948" s="4"/>
      <c r="C948" s="4"/>
      <c r="D948" s="4"/>
      <c r="E948" s="4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24.75" customHeight="1">
      <c r="A949" s="4"/>
      <c r="B949" s="4"/>
      <c r="C949" s="4"/>
      <c r="D949" s="4"/>
      <c r="E949" s="4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24.75" customHeight="1">
      <c r="A950" s="4"/>
      <c r="B950" s="4"/>
      <c r="C950" s="4"/>
      <c r="D950" s="4"/>
      <c r="E950" s="4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24.75" customHeight="1">
      <c r="A951" s="4"/>
      <c r="B951" s="4"/>
      <c r="C951" s="4"/>
      <c r="D951" s="4"/>
      <c r="E951" s="4"/>
      <c r="F951" s="1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24.75" customHeight="1">
      <c r="A952" s="4"/>
      <c r="B952" s="4"/>
      <c r="C952" s="4"/>
      <c r="D952" s="4"/>
      <c r="E952" s="4"/>
      <c r="F952" s="1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24.75" customHeight="1">
      <c r="A953" s="4"/>
      <c r="B953" s="4"/>
      <c r="C953" s="4"/>
      <c r="D953" s="4"/>
      <c r="E953" s="4"/>
      <c r="F953" s="1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24.75" customHeight="1">
      <c r="A954" s="4"/>
      <c r="B954" s="4"/>
      <c r="C954" s="4"/>
      <c r="D954" s="4"/>
      <c r="E954" s="4"/>
      <c r="F954" s="1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24.75" customHeight="1">
      <c r="A955" s="4"/>
      <c r="B955" s="4"/>
      <c r="C955" s="4"/>
      <c r="D955" s="4"/>
      <c r="E955" s="4"/>
      <c r="F955" s="1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24.75" customHeight="1">
      <c r="A956" s="4"/>
      <c r="B956" s="4"/>
      <c r="C956" s="4"/>
      <c r="D956" s="4"/>
      <c r="E956" s="4"/>
      <c r="F956" s="1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24.75" customHeight="1">
      <c r="A957" s="4"/>
      <c r="B957" s="4"/>
      <c r="C957" s="4"/>
      <c r="D957" s="4"/>
      <c r="E957" s="4"/>
      <c r="F957" s="1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24.75" customHeight="1">
      <c r="A958" s="4"/>
      <c r="B958" s="4"/>
      <c r="C958" s="4"/>
      <c r="D958" s="4"/>
      <c r="E958" s="4"/>
      <c r="F958" s="1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24.75" customHeight="1">
      <c r="A959" s="4"/>
      <c r="B959" s="4"/>
      <c r="C959" s="4"/>
      <c r="D959" s="4"/>
      <c r="E959" s="4"/>
      <c r="F959" s="1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24.75" customHeight="1">
      <c r="A960" s="4"/>
      <c r="B960" s="4"/>
      <c r="C960" s="4"/>
      <c r="D960" s="4"/>
      <c r="E960" s="4"/>
      <c r="F960" s="1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24.75" customHeight="1">
      <c r="A961" s="4"/>
      <c r="B961" s="4"/>
      <c r="C961" s="4"/>
      <c r="D961" s="4"/>
      <c r="E961" s="4"/>
      <c r="F961" s="1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24.75" customHeight="1">
      <c r="A962" s="4"/>
      <c r="B962" s="4"/>
      <c r="C962" s="4"/>
      <c r="D962" s="4"/>
      <c r="E962" s="4"/>
      <c r="F962" s="1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24.75" customHeight="1">
      <c r="A963" s="4"/>
      <c r="B963" s="4"/>
      <c r="C963" s="4"/>
      <c r="D963" s="4"/>
      <c r="E963" s="4"/>
      <c r="F963" s="1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24.75" customHeight="1">
      <c r="A964" s="4"/>
      <c r="B964" s="4"/>
      <c r="C964" s="4"/>
      <c r="D964" s="4"/>
      <c r="E964" s="4"/>
      <c r="F964" s="1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24.75" customHeight="1">
      <c r="A965" s="4"/>
      <c r="B965" s="4"/>
      <c r="C965" s="4"/>
      <c r="D965" s="4"/>
      <c r="E965" s="4"/>
      <c r="F965" s="1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24.75" customHeight="1">
      <c r="A966" s="4"/>
      <c r="B966" s="4"/>
      <c r="C966" s="4"/>
      <c r="D966" s="4"/>
      <c r="E966" s="4"/>
      <c r="F966" s="1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24.75" customHeight="1">
      <c r="A967" s="4"/>
      <c r="B967" s="4"/>
      <c r="C967" s="4"/>
      <c r="D967" s="4"/>
      <c r="E967" s="4"/>
      <c r="F967" s="1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24.75" customHeight="1">
      <c r="A968" s="4"/>
      <c r="B968" s="4"/>
      <c r="C968" s="4"/>
      <c r="D968" s="4"/>
      <c r="E968" s="4"/>
      <c r="F968" s="1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24.75" customHeight="1">
      <c r="A969" s="4"/>
      <c r="B969" s="4"/>
      <c r="C969" s="4"/>
      <c r="D969" s="4"/>
      <c r="E969" s="4"/>
      <c r="F969" s="1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24.75" customHeight="1">
      <c r="A970" s="4"/>
      <c r="B970" s="4"/>
      <c r="C970" s="4"/>
      <c r="D970" s="4"/>
      <c r="E970" s="4"/>
      <c r="F970" s="1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24.75" customHeight="1">
      <c r="A971" s="4"/>
      <c r="B971" s="4"/>
      <c r="C971" s="4"/>
      <c r="D971" s="4"/>
      <c r="E971" s="4"/>
      <c r="F971" s="1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24.75" customHeight="1">
      <c r="A972" s="4"/>
      <c r="B972" s="4"/>
      <c r="C972" s="4"/>
      <c r="D972" s="4"/>
      <c r="E972" s="4"/>
      <c r="F972" s="1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24.75" customHeight="1">
      <c r="A973" s="4"/>
      <c r="B973" s="4"/>
      <c r="C973" s="4"/>
      <c r="D973" s="4"/>
      <c r="E973" s="4"/>
      <c r="F973" s="1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24.75" customHeight="1">
      <c r="A974" s="4"/>
      <c r="B974" s="4"/>
      <c r="C974" s="4"/>
      <c r="D974" s="4"/>
      <c r="E974" s="4"/>
      <c r="F974" s="1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24.75" customHeight="1">
      <c r="A975" s="4"/>
      <c r="B975" s="4"/>
      <c r="C975" s="4"/>
      <c r="D975" s="4"/>
      <c r="E975" s="4"/>
      <c r="F975" s="1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24.75" customHeight="1">
      <c r="A976" s="4"/>
      <c r="B976" s="4"/>
      <c r="C976" s="4"/>
      <c r="D976" s="4"/>
      <c r="E976" s="4"/>
      <c r="F976" s="1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24.75" customHeight="1">
      <c r="A977" s="4"/>
      <c r="B977" s="4"/>
      <c r="C977" s="4"/>
      <c r="D977" s="4"/>
      <c r="E977" s="4"/>
      <c r="F977" s="1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24.75" customHeight="1">
      <c r="A978" s="4"/>
      <c r="B978" s="4"/>
      <c r="C978" s="4"/>
      <c r="D978" s="4"/>
      <c r="E978" s="4"/>
      <c r="F978" s="1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24.75" customHeight="1">
      <c r="A979" s="4"/>
      <c r="B979" s="4"/>
      <c r="C979" s="4"/>
      <c r="D979" s="4"/>
      <c r="E979" s="4"/>
      <c r="F979" s="1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24.75" customHeight="1">
      <c r="A980" s="4"/>
      <c r="B980" s="4"/>
      <c r="C980" s="4"/>
      <c r="D980" s="4"/>
      <c r="E980" s="4"/>
      <c r="F980" s="1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24.75" customHeight="1">
      <c r="A981" s="4"/>
      <c r="B981" s="4"/>
      <c r="C981" s="4"/>
      <c r="D981" s="4"/>
      <c r="E981" s="4"/>
      <c r="F981" s="1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24.75" customHeight="1">
      <c r="A982" s="4"/>
      <c r="B982" s="4"/>
      <c r="C982" s="4"/>
      <c r="D982" s="4"/>
      <c r="E982" s="4"/>
      <c r="F982" s="1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24.75" customHeight="1">
      <c r="A983" s="4"/>
      <c r="B983" s="4"/>
      <c r="C983" s="4"/>
      <c r="D983" s="4"/>
      <c r="E983" s="4"/>
      <c r="F983" s="1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24.75" customHeight="1">
      <c r="A984" s="4"/>
      <c r="B984" s="4"/>
      <c r="C984" s="4"/>
      <c r="D984" s="4"/>
      <c r="E984" s="4"/>
      <c r="F984" s="1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24.75" customHeight="1">
      <c r="A985" s="4"/>
      <c r="B985" s="4"/>
      <c r="C985" s="4"/>
      <c r="D985" s="4"/>
      <c r="E985" s="4"/>
      <c r="F985" s="1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24.75" customHeight="1">
      <c r="A986" s="4"/>
      <c r="B986" s="4"/>
      <c r="C986" s="4"/>
      <c r="D986" s="4"/>
      <c r="E986" s="4"/>
      <c r="F986" s="1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24.75" customHeight="1">
      <c r="A987" s="4"/>
      <c r="B987" s="4"/>
      <c r="C987" s="4"/>
      <c r="D987" s="4"/>
      <c r="E987" s="4"/>
      <c r="F987" s="1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24.75" customHeight="1">
      <c r="A988" s="4"/>
      <c r="B988" s="4"/>
      <c r="C988" s="4"/>
      <c r="D988" s="4"/>
      <c r="E988" s="4"/>
      <c r="F988" s="1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24.75" customHeight="1">
      <c r="A989" s="4"/>
      <c r="B989" s="4"/>
      <c r="C989" s="4"/>
      <c r="D989" s="4"/>
      <c r="E989" s="4"/>
      <c r="F989" s="1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24.75" customHeight="1">
      <c r="A990" s="4"/>
      <c r="B990" s="4"/>
      <c r="C990" s="4"/>
      <c r="D990" s="4"/>
      <c r="E990" s="4"/>
      <c r="F990" s="1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24.75" customHeight="1">
      <c r="A991" s="4"/>
      <c r="B991" s="4"/>
      <c r="C991" s="4"/>
      <c r="D991" s="4"/>
      <c r="E991" s="4"/>
      <c r="F991" s="1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24.75" customHeight="1">
      <c r="A992" s="4"/>
      <c r="B992" s="4"/>
      <c r="C992" s="4"/>
      <c r="D992" s="4"/>
      <c r="E992" s="4"/>
      <c r="F992" s="1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24.75" customHeight="1">
      <c r="A993" s="4"/>
      <c r="B993" s="4"/>
      <c r="C993" s="4"/>
      <c r="D993" s="4"/>
      <c r="E993" s="4"/>
      <c r="F993" s="1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24.75" customHeight="1">
      <c r="A994" s="4"/>
      <c r="B994" s="4"/>
      <c r="C994" s="4"/>
      <c r="D994" s="4"/>
      <c r="E994" s="4"/>
      <c r="F994" s="1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24.75" customHeight="1">
      <c r="A995" s="4"/>
      <c r="B995" s="4"/>
      <c r="C995" s="4"/>
      <c r="D995" s="4"/>
      <c r="E995" s="4"/>
      <c r="F995" s="1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24.75" customHeight="1">
      <c r="A996" s="4"/>
      <c r="B996" s="4"/>
      <c r="C996" s="4"/>
      <c r="D996" s="4"/>
      <c r="E996" s="4"/>
      <c r="F996" s="1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24.75" customHeight="1">
      <c r="A997" s="4"/>
      <c r="B997" s="4"/>
      <c r="C997" s="4"/>
      <c r="D997" s="4"/>
      <c r="E997" s="4"/>
      <c r="F997" s="1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24.75" customHeight="1">
      <c r="A998" s="4"/>
      <c r="B998" s="4"/>
      <c r="C998" s="4"/>
      <c r="D998" s="4"/>
      <c r="E998" s="4"/>
      <c r="F998" s="1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24.75" customHeight="1">
      <c r="A999" s="4"/>
      <c r="B999" s="4"/>
      <c r="C999" s="4"/>
      <c r="D999" s="4"/>
      <c r="E999" s="4"/>
      <c r="F999" s="1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24.75" customHeight="1">
      <c r="A1000" s="4"/>
      <c r="B1000" s="4"/>
      <c r="C1000" s="4"/>
      <c r="D1000" s="4"/>
      <c r="E1000" s="4"/>
      <c r="F1000" s="1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ht="24.75" customHeight="1">
      <c r="A1001" s="4"/>
      <c r="B1001" s="4"/>
      <c r="C1001" s="4"/>
      <c r="D1001" s="4"/>
      <c r="E1001" s="4"/>
      <c r="F1001" s="10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ht="24.75" customHeight="1">
      <c r="A1002" s="4"/>
      <c r="B1002" s="4"/>
      <c r="C1002" s="4"/>
      <c r="D1002" s="4"/>
      <c r="E1002" s="4"/>
      <c r="F1002" s="10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ht="24.75" customHeight="1">
      <c r="A1003" s="4"/>
      <c r="B1003" s="4"/>
      <c r="C1003" s="4"/>
      <c r="D1003" s="4"/>
      <c r="E1003" s="4"/>
      <c r="F1003" s="10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ht="24.75" customHeight="1">
      <c r="A1004" s="4"/>
      <c r="B1004" s="4"/>
      <c r="C1004" s="4"/>
      <c r="D1004" s="4"/>
      <c r="E1004" s="4"/>
      <c r="F1004" s="10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ht="24.75" customHeight="1">
      <c r="A1005" s="4"/>
      <c r="B1005" s="4"/>
      <c r="C1005" s="4"/>
      <c r="D1005" s="4"/>
      <c r="E1005" s="4"/>
      <c r="F1005" s="10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ht="24.75" customHeight="1">
      <c r="A1006" s="4"/>
      <c r="B1006" s="4"/>
      <c r="C1006" s="4"/>
      <c r="D1006" s="4"/>
      <c r="E1006" s="4"/>
      <c r="F1006" s="10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ht="24.75" customHeight="1">
      <c r="A1007" s="4"/>
      <c r="B1007" s="4"/>
      <c r="C1007" s="4"/>
      <c r="D1007" s="4"/>
      <c r="E1007" s="4"/>
      <c r="F1007" s="10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ht="24.75" customHeight="1">
      <c r="A1008" s="4"/>
      <c r="B1008" s="4"/>
      <c r="C1008" s="4"/>
      <c r="D1008" s="4"/>
      <c r="E1008" s="4"/>
      <c r="F1008" s="10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ht="24.75" customHeight="1">
      <c r="A1009" s="4"/>
      <c r="B1009" s="4"/>
      <c r="C1009" s="4"/>
      <c r="D1009" s="4"/>
      <c r="E1009" s="4"/>
      <c r="F1009" s="10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ht="24.75" customHeight="1">
      <c r="A1010" s="4"/>
      <c r="B1010" s="4"/>
      <c r="C1010" s="4"/>
      <c r="D1010" s="4"/>
      <c r="E1010" s="4"/>
      <c r="F1010" s="10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ht="24.75" customHeight="1">
      <c r="A1011" s="4"/>
      <c r="B1011" s="4"/>
      <c r="C1011" s="4"/>
      <c r="D1011" s="4"/>
      <c r="E1011" s="4"/>
      <c r="F1011" s="10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ht="24.75" customHeight="1">
      <c r="A1012" s="4"/>
      <c r="B1012" s="4"/>
      <c r="C1012" s="4"/>
      <c r="D1012" s="4"/>
      <c r="E1012" s="4"/>
      <c r="F1012" s="10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ht="24.75" customHeight="1">
      <c r="A1013" s="4"/>
      <c r="B1013" s="4"/>
      <c r="C1013" s="4"/>
      <c r="D1013" s="4"/>
      <c r="E1013" s="4"/>
      <c r="F1013" s="10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ht="24.75" customHeight="1">
      <c r="A1014" s="4"/>
      <c r="B1014" s="4"/>
      <c r="C1014" s="4"/>
      <c r="D1014" s="4"/>
      <c r="E1014" s="4"/>
      <c r="F1014" s="10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ht="24.75" customHeight="1">
      <c r="A1015" s="4"/>
      <c r="B1015" s="4"/>
      <c r="C1015" s="4"/>
      <c r="D1015" s="4"/>
      <c r="E1015" s="4"/>
      <c r="F1015" s="10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ht="24.75" customHeight="1">
      <c r="A1016" s="4"/>
      <c r="B1016" s="4"/>
      <c r="C1016" s="4"/>
      <c r="D1016" s="4"/>
      <c r="E1016" s="4"/>
      <c r="F1016" s="10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ht="24.75" customHeight="1">
      <c r="A1017" s="4"/>
      <c r="B1017" s="4"/>
      <c r="C1017" s="4"/>
      <c r="D1017" s="4"/>
      <c r="E1017" s="4"/>
      <c r="F1017" s="10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ht="24.75" customHeight="1">
      <c r="A1018" s="4"/>
      <c r="B1018" s="4"/>
      <c r="C1018" s="4"/>
      <c r="D1018" s="4"/>
      <c r="E1018" s="4"/>
      <c r="F1018" s="10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ht="24.75" customHeight="1">
      <c r="A1019" s="4"/>
      <c r="B1019" s="4"/>
      <c r="C1019" s="4"/>
      <c r="D1019" s="4"/>
      <c r="E1019" s="4"/>
      <c r="F1019" s="10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ht="24.75" customHeight="1">
      <c r="A1020" s="4"/>
      <c r="B1020" s="4"/>
      <c r="C1020" s="4"/>
      <c r="D1020" s="4"/>
      <c r="E1020" s="4"/>
      <c r="F1020" s="10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ht="24.75" customHeight="1">
      <c r="A1021" s="4"/>
      <c r="B1021" s="4"/>
      <c r="C1021" s="4"/>
      <c r="D1021" s="4"/>
      <c r="E1021" s="4"/>
      <c r="F1021" s="10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ht="24.75" customHeight="1">
      <c r="A1022" s="4"/>
      <c r="B1022" s="4"/>
      <c r="C1022" s="4"/>
      <c r="D1022" s="4"/>
      <c r="E1022" s="4"/>
      <c r="F1022" s="10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ht="24.75" customHeight="1">
      <c r="A1023" s="4"/>
      <c r="B1023" s="4"/>
      <c r="C1023" s="4"/>
      <c r="D1023" s="4"/>
      <c r="E1023" s="4"/>
      <c r="F1023" s="10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ht="24.75" customHeight="1">
      <c r="A1024" s="4"/>
      <c r="B1024" s="4"/>
      <c r="C1024" s="4"/>
      <c r="D1024" s="4"/>
      <c r="E1024" s="4"/>
      <c r="F1024" s="10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ht="24.75" customHeight="1">
      <c r="A1025" s="4"/>
      <c r="B1025" s="4"/>
      <c r="C1025" s="4"/>
      <c r="D1025" s="4"/>
      <c r="E1025" s="4"/>
      <c r="F1025" s="10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ht="24.75" customHeight="1">
      <c r="A1026" s="4"/>
      <c r="B1026" s="4"/>
      <c r="C1026" s="4"/>
      <c r="D1026" s="4"/>
      <c r="E1026" s="4"/>
      <c r="F1026" s="10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 ht="24.75" customHeight="1">
      <c r="A1027" s="4"/>
      <c r="B1027" s="4"/>
      <c r="C1027" s="4"/>
      <c r="D1027" s="4"/>
      <c r="E1027" s="4"/>
      <c r="F1027" s="10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 ht="24.75" customHeight="1">
      <c r="A1028" s="4"/>
      <c r="B1028" s="4"/>
      <c r="C1028" s="4"/>
      <c r="D1028" s="4"/>
      <c r="E1028" s="4"/>
      <c r="F1028" s="10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 ht="24.75" customHeight="1">
      <c r="A1029" s="4"/>
      <c r="B1029" s="4"/>
      <c r="C1029" s="4"/>
      <c r="D1029" s="4"/>
      <c r="E1029" s="4"/>
      <c r="F1029" s="10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 ht="24.75" customHeight="1">
      <c r="A1030" s="4"/>
      <c r="B1030" s="4"/>
      <c r="C1030" s="4"/>
      <c r="D1030" s="4"/>
      <c r="E1030" s="4"/>
      <c r="F1030" s="10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 ht="24.75" customHeight="1">
      <c r="A1031" s="4"/>
      <c r="B1031" s="4"/>
      <c r="C1031" s="4"/>
      <c r="D1031" s="4"/>
      <c r="E1031" s="4"/>
      <c r="F1031" s="10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 ht="24.75" customHeight="1">
      <c r="A1032" s="4"/>
      <c r="B1032" s="4"/>
      <c r="C1032" s="4"/>
      <c r="D1032" s="4"/>
      <c r="E1032" s="4"/>
      <c r="F1032" s="10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 ht="24.75" customHeight="1">
      <c r="A1033" s="4"/>
      <c r="B1033" s="4"/>
      <c r="C1033" s="4"/>
      <c r="D1033" s="4"/>
      <c r="E1033" s="4"/>
      <c r="F1033" s="10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 ht="24.75" customHeight="1">
      <c r="A1034" s="4"/>
      <c r="B1034" s="4"/>
      <c r="C1034" s="4"/>
      <c r="D1034" s="4"/>
      <c r="E1034" s="4"/>
      <c r="F1034" s="10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 ht="24.75" customHeight="1">
      <c r="A1035" s="4"/>
      <c r="B1035" s="4"/>
      <c r="C1035" s="4"/>
      <c r="D1035" s="4"/>
      <c r="E1035" s="4"/>
      <c r="F1035" s="10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 ht="24.75" customHeight="1">
      <c r="A1036" s="4"/>
      <c r="B1036" s="4"/>
      <c r="C1036" s="4"/>
      <c r="D1036" s="4"/>
      <c r="E1036" s="4"/>
      <c r="F1036" s="10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 ht="24.75" customHeight="1">
      <c r="A1037" s="4"/>
      <c r="B1037" s="4"/>
      <c r="C1037" s="4"/>
      <c r="D1037" s="4"/>
      <c r="E1037" s="4"/>
      <c r="F1037" s="10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 ht="24.75" customHeight="1">
      <c r="A1038" s="4"/>
      <c r="B1038" s="4"/>
      <c r="C1038" s="4"/>
      <c r="D1038" s="4"/>
      <c r="E1038" s="4"/>
      <c r="F1038" s="10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 ht="24.75" customHeight="1">
      <c r="A1039" s="4"/>
      <c r="B1039" s="4"/>
      <c r="C1039" s="4"/>
      <c r="D1039" s="4"/>
      <c r="E1039" s="4"/>
      <c r="F1039" s="10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 ht="24.75" customHeight="1">
      <c r="A1040" s="4"/>
      <c r="B1040" s="4"/>
      <c r="C1040" s="4"/>
      <c r="D1040" s="4"/>
      <c r="E1040" s="4"/>
      <c r="F1040" s="10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 ht="24.75" customHeight="1">
      <c r="A1041" s="4"/>
      <c r="B1041" s="4"/>
      <c r="C1041" s="4"/>
      <c r="D1041" s="4"/>
      <c r="E1041" s="4"/>
      <c r="F1041" s="10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 ht="24.75" customHeight="1">
      <c r="A1042" s="4"/>
      <c r="B1042" s="4"/>
      <c r="C1042" s="4"/>
      <c r="D1042" s="4"/>
      <c r="E1042" s="4"/>
      <c r="F1042" s="10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 ht="24.75" customHeight="1">
      <c r="A1043" s="4"/>
      <c r="B1043" s="4"/>
      <c r="C1043" s="4"/>
      <c r="D1043" s="4"/>
      <c r="E1043" s="4"/>
      <c r="F1043" s="10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 ht="24.75" customHeight="1">
      <c r="A1044" s="4"/>
      <c r="B1044" s="4"/>
      <c r="C1044" s="4"/>
      <c r="D1044" s="4"/>
      <c r="E1044" s="4"/>
      <c r="F1044" s="10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 ht="24.75" customHeight="1">
      <c r="A1045" s="4"/>
      <c r="B1045" s="4"/>
      <c r="C1045" s="4"/>
      <c r="D1045" s="4"/>
      <c r="E1045" s="4"/>
      <c r="F1045" s="10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 ht="24.75" customHeight="1">
      <c r="A1046" s="4"/>
      <c r="B1046" s="4"/>
      <c r="C1046" s="4"/>
      <c r="D1046" s="4"/>
      <c r="E1046" s="4"/>
      <c r="F1046" s="10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 ht="24.75" customHeight="1">
      <c r="A1047" s="4"/>
      <c r="B1047" s="4"/>
      <c r="C1047" s="4"/>
      <c r="D1047" s="4"/>
      <c r="E1047" s="4"/>
      <c r="F1047" s="10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 ht="24.75" customHeight="1">
      <c r="A1048" s="4"/>
      <c r="B1048" s="4"/>
      <c r="C1048" s="4"/>
      <c r="D1048" s="4"/>
      <c r="E1048" s="4"/>
      <c r="F1048" s="10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 ht="24.75" customHeight="1">
      <c r="A1049" s="4"/>
      <c r="B1049" s="4"/>
      <c r="C1049" s="4"/>
      <c r="D1049" s="4"/>
      <c r="E1049" s="4"/>
      <c r="F1049" s="10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 ht="24.75" customHeight="1">
      <c r="A1050" s="4"/>
      <c r="B1050" s="4"/>
      <c r="C1050" s="4"/>
      <c r="D1050" s="4"/>
      <c r="E1050" s="4"/>
      <c r="F1050" s="10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 ht="24.75" customHeight="1">
      <c r="A1051" s="4"/>
      <c r="B1051" s="4"/>
      <c r="C1051" s="4"/>
      <c r="D1051" s="4"/>
      <c r="E1051" s="4"/>
      <c r="F1051" s="10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 ht="24.75" customHeight="1">
      <c r="A1052" s="4"/>
      <c r="B1052" s="4"/>
      <c r="C1052" s="4"/>
      <c r="D1052" s="4"/>
      <c r="E1052" s="4"/>
      <c r="F1052" s="10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 ht="24.75" customHeight="1">
      <c r="A1053" s="4"/>
      <c r="B1053" s="4"/>
      <c r="C1053" s="4"/>
      <c r="D1053" s="4"/>
      <c r="E1053" s="4"/>
      <c r="F1053" s="10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 ht="24.75" customHeight="1">
      <c r="A1054" s="4"/>
      <c r="B1054" s="4"/>
      <c r="C1054" s="4"/>
      <c r="D1054" s="4"/>
      <c r="E1054" s="4"/>
      <c r="F1054" s="10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 ht="24.75" customHeight="1">
      <c r="A1055" s="4"/>
      <c r="B1055" s="4"/>
      <c r="C1055" s="4"/>
      <c r="D1055" s="4"/>
      <c r="E1055" s="4"/>
      <c r="F1055" s="10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 ht="24.75" customHeight="1">
      <c r="A1056" s="4"/>
      <c r="B1056" s="4"/>
      <c r="C1056" s="4"/>
      <c r="D1056" s="4"/>
      <c r="E1056" s="4"/>
      <c r="F1056" s="10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 ht="24.75" customHeight="1">
      <c r="A1057" s="4"/>
      <c r="B1057" s="4"/>
      <c r="C1057" s="4"/>
      <c r="D1057" s="4"/>
      <c r="E1057" s="4"/>
      <c r="F1057" s="10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 ht="24.75" customHeight="1">
      <c r="A1058" s="4"/>
      <c r="B1058" s="4"/>
      <c r="C1058" s="4"/>
      <c r="D1058" s="4"/>
      <c r="E1058" s="4"/>
      <c r="F1058" s="10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 ht="24.75" customHeight="1">
      <c r="A1059" s="4"/>
      <c r="B1059" s="4"/>
      <c r="C1059" s="4"/>
      <c r="D1059" s="4"/>
      <c r="E1059" s="4"/>
      <c r="F1059" s="10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 ht="24.75" customHeight="1">
      <c r="A1060" s="4"/>
      <c r="B1060" s="4"/>
      <c r="C1060" s="4"/>
      <c r="D1060" s="4"/>
      <c r="E1060" s="4"/>
      <c r="F1060" s="10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 ht="24.75" customHeight="1">
      <c r="A1061" s="4"/>
      <c r="B1061" s="4"/>
      <c r="C1061" s="4"/>
      <c r="D1061" s="4"/>
      <c r="E1061" s="4"/>
      <c r="F1061" s="10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 ht="24.75" customHeight="1">
      <c r="A1062" s="4"/>
      <c r="B1062" s="4"/>
      <c r="C1062" s="4"/>
      <c r="D1062" s="4"/>
      <c r="E1062" s="4"/>
      <c r="F1062" s="10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 ht="24.75" customHeight="1">
      <c r="A1063" s="4"/>
      <c r="B1063" s="4"/>
      <c r="C1063" s="4"/>
      <c r="D1063" s="4"/>
      <c r="E1063" s="4"/>
      <c r="F1063" s="10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 ht="24.75" customHeight="1">
      <c r="A1064" s="4"/>
      <c r="B1064" s="4"/>
      <c r="C1064" s="4"/>
      <c r="D1064" s="4"/>
      <c r="E1064" s="4"/>
      <c r="F1064" s="10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 ht="24.75" customHeight="1">
      <c r="A1065" s="4"/>
      <c r="B1065" s="4"/>
      <c r="C1065" s="4"/>
      <c r="D1065" s="4"/>
      <c r="E1065" s="4"/>
      <c r="F1065" s="10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 ht="24.75" customHeight="1">
      <c r="A1066" s="4"/>
      <c r="B1066" s="4"/>
      <c r="C1066" s="4"/>
      <c r="D1066" s="4"/>
      <c r="E1066" s="4"/>
      <c r="F1066" s="10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 ht="24.75" customHeight="1">
      <c r="A1067" s="4"/>
      <c r="B1067" s="4"/>
      <c r="C1067" s="4"/>
      <c r="D1067" s="4"/>
      <c r="E1067" s="4"/>
      <c r="F1067" s="10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 ht="24.75" customHeight="1">
      <c r="A1068" s="4"/>
      <c r="B1068" s="4"/>
      <c r="C1068" s="4"/>
      <c r="D1068" s="4"/>
      <c r="E1068" s="4"/>
      <c r="F1068" s="10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 ht="24.75" customHeight="1">
      <c r="A1069" s="4"/>
      <c r="B1069" s="4"/>
      <c r="C1069" s="4"/>
      <c r="D1069" s="4"/>
      <c r="E1069" s="4"/>
      <c r="F1069" s="10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 ht="24.75" customHeight="1">
      <c r="A1070" s="4"/>
      <c r="B1070" s="4"/>
      <c r="C1070" s="4"/>
      <c r="D1070" s="4"/>
      <c r="E1070" s="4"/>
      <c r="F1070" s="10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 ht="24.75" customHeight="1">
      <c r="A1071" s="4"/>
      <c r="B1071" s="4"/>
      <c r="C1071" s="4"/>
      <c r="D1071" s="4"/>
      <c r="E1071" s="4"/>
      <c r="F1071" s="10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 ht="24.75" customHeight="1">
      <c r="A1072" s="4"/>
      <c r="B1072" s="4"/>
      <c r="C1072" s="4"/>
      <c r="D1072" s="4"/>
      <c r="E1072" s="4"/>
      <c r="F1072" s="10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 ht="24.75" customHeight="1">
      <c r="A1073" s="4"/>
      <c r="B1073" s="4"/>
      <c r="C1073" s="4"/>
      <c r="D1073" s="4"/>
      <c r="E1073" s="4"/>
      <c r="F1073" s="10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 ht="24.75" customHeight="1">
      <c r="A1074" s="4"/>
      <c r="B1074" s="4"/>
      <c r="C1074" s="4"/>
      <c r="D1074" s="4"/>
      <c r="E1074" s="4"/>
      <c r="F1074" s="10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 ht="24.75" customHeight="1">
      <c r="A1075" s="4"/>
      <c r="B1075" s="4"/>
      <c r="C1075" s="4"/>
      <c r="D1075" s="4"/>
      <c r="E1075" s="4"/>
      <c r="F1075" s="10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 ht="24.75" customHeight="1">
      <c r="A1076" s="4"/>
      <c r="B1076" s="4"/>
      <c r="C1076" s="4"/>
      <c r="D1076" s="4"/>
      <c r="E1076" s="4"/>
      <c r="F1076" s="10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 ht="24.75" customHeight="1">
      <c r="A1077" s="4"/>
      <c r="B1077" s="4"/>
      <c r="C1077" s="4"/>
      <c r="D1077" s="4"/>
      <c r="E1077" s="4"/>
      <c r="F1077" s="10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 ht="24.75" customHeight="1">
      <c r="A1078" s="4"/>
      <c r="B1078" s="4"/>
      <c r="C1078" s="4"/>
      <c r="D1078" s="4"/>
      <c r="E1078" s="4"/>
      <c r="F1078" s="10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 ht="24.75" customHeight="1">
      <c r="A1079" s="4"/>
      <c r="B1079" s="4"/>
      <c r="C1079" s="4"/>
      <c r="D1079" s="4"/>
      <c r="E1079" s="4"/>
      <c r="F1079" s="10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 ht="24.75" customHeight="1">
      <c r="A1080" s="4"/>
      <c r="B1080" s="4"/>
      <c r="C1080" s="4"/>
      <c r="D1080" s="4"/>
      <c r="E1080" s="4"/>
      <c r="F1080" s="10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 ht="24.75" customHeight="1">
      <c r="A1081" s="4"/>
      <c r="B1081" s="4"/>
      <c r="C1081" s="4"/>
      <c r="D1081" s="4"/>
      <c r="E1081" s="4"/>
      <c r="F1081" s="10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 ht="24.75" customHeight="1">
      <c r="A1082" s="4"/>
      <c r="B1082" s="4"/>
      <c r="C1082" s="4"/>
      <c r="D1082" s="4"/>
      <c r="E1082" s="4"/>
      <c r="F1082" s="10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 ht="24.75" customHeight="1">
      <c r="A1083" s="4"/>
      <c r="B1083" s="4"/>
      <c r="C1083" s="4"/>
      <c r="D1083" s="4"/>
      <c r="E1083" s="4"/>
      <c r="F1083" s="10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 ht="24.75" customHeight="1">
      <c r="A1084" s="4"/>
      <c r="B1084" s="4"/>
      <c r="C1084" s="4"/>
      <c r="D1084" s="4"/>
      <c r="E1084" s="4"/>
      <c r="F1084" s="10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 ht="24.75" customHeight="1">
      <c r="A1085" s="4"/>
      <c r="B1085" s="4"/>
      <c r="C1085" s="4"/>
      <c r="D1085" s="4"/>
      <c r="E1085" s="4"/>
      <c r="F1085" s="10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 ht="24.75" customHeight="1">
      <c r="A1086" s="4"/>
      <c r="B1086" s="4"/>
      <c r="C1086" s="4"/>
      <c r="D1086" s="4"/>
      <c r="E1086" s="4"/>
      <c r="F1086" s="10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 ht="24.75" customHeight="1">
      <c r="A1087" s="4"/>
      <c r="B1087" s="4"/>
      <c r="C1087" s="4"/>
      <c r="D1087" s="4"/>
      <c r="E1087" s="4"/>
      <c r="F1087" s="10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 ht="24.75" customHeight="1">
      <c r="A1088" s="4"/>
      <c r="B1088" s="4"/>
      <c r="C1088" s="4"/>
      <c r="D1088" s="4"/>
      <c r="E1088" s="4"/>
      <c r="F1088" s="10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 ht="24.75" customHeight="1">
      <c r="A1089" s="4"/>
      <c r="B1089" s="4"/>
      <c r="C1089" s="4"/>
      <c r="D1089" s="4"/>
      <c r="E1089" s="4"/>
      <c r="F1089" s="10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 ht="24.75" customHeight="1">
      <c r="A1090" s="4"/>
      <c r="B1090" s="4"/>
      <c r="C1090" s="4"/>
      <c r="D1090" s="4"/>
      <c r="E1090" s="4"/>
      <c r="F1090" s="10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 ht="24.75" customHeight="1">
      <c r="A1091" s="4"/>
      <c r="B1091" s="4"/>
      <c r="C1091" s="4"/>
      <c r="D1091" s="4"/>
      <c r="E1091" s="4"/>
      <c r="F1091" s="10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 ht="24.75" customHeight="1">
      <c r="A1092" s="4"/>
      <c r="B1092" s="4"/>
      <c r="C1092" s="4"/>
      <c r="D1092" s="4"/>
      <c r="E1092" s="4"/>
      <c r="F1092" s="10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 ht="24.75" customHeight="1">
      <c r="A1093" s="4"/>
      <c r="B1093" s="4"/>
      <c r="C1093" s="4"/>
      <c r="D1093" s="4"/>
      <c r="E1093" s="4"/>
      <c r="F1093" s="10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 ht="24.75" customHeight="1">
      <c r="A1094" s="4"/>
      <c r="B1094" s="4"/>
      <c r="C1094" s="4"/>
      <c r="D1094" s="4"/>
      <c r="E1094" s="4"/>
      <c r="F1094" s="10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 ht="24.75" customHeight="1">
      <c r="A1095" s="4"/>
      <c r="B1095" s="4"/>
      <c r="C1095" s="4"/>
      <c r="D1095" s="4"/>
      <c r="E1095" s="4"/>
      <c r="F1095" s="10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 ht="24.75" customHeight="1">
      <c r="A1096" s="4"/>
      <c r="B1096" s="4"/>
      <c r="C1096" s="4"/>
      <c r="D1096" s="4"/>
      <c r="E1096" s="4"/>
      <c r="F1096" s="10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 ht="24.75" customHeight="1">
      <c r="A1097" s="4"/>
      <c r="B1097" s="4"/>
      <c r="C1097" s="4"/>
      <c r="D1097" s="4"/>
      <c r="E1097" s="4"/>
      <c r="F1097" s="10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 ht="24.75" customHeight="1">
      <c r="A1098" s="4"/>
      <c r="B1098" s="4"/>
      <c r="C1098" s="4"/>
      <c r="D1098" s="4"/>
      <c r="E1098" s="4"/>
      <c r="F1098" s="10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 ht="24.75" customHeight="1">
      <c r="A1099" s="4"/>
      <c r="B1099" s="4"/>
      <c r="C1099" s="4"/>
      <c r="D1099" s="4"/>
      <c r="E1099" s="4"/>
      <c r="F1099" s="10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 ht="24.75" customHeight="1">
      <c r="A1100" s="4"/>
      <c r="B1100" s="4"/>
      <c r="C1100" s="4"/>
      <c r="D1100" s="4"/>
      <c r="E1100" s="4"/>
      <c r="F1100" s="10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 ht="24.75" customHeight="1">
      <c r="A1101" s="4"/>
      <c r="B1101" s="4"/>
      <c r="C1101" s="4"/>
      <c r="D1101" s="4"/>
      <c r="E1101" s="4"/>
      <c r="F1101" s="10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 ht="24.75" customHeight="1">
      <c r="A1102" s="4"/>
      <c r="B1102" s="4"/>
      <c r="C1102" s="4"/>
      <c r="D1102" s="4"/>
      <c r="E1102" s="4"/>
      <c r="F1102" s="10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 ht="24.75" customHeight="1">
      <c r="A1103" s="4"/>
      <c r="B1103" s="4"/>
      <c r="C1103" s="4"/>
      <c r="D1103" s="4"/>
      <c r="E1103" s="4"/>
      <c r="F1103" s="10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 ht="24.75" customHeight="1">
      <c r="A1104" s="4"/>
      <c r="B1104" s="4"/>
      <c r="C1104" s="4"/>
      <c r="D1104" s="4"/>
      <c r="E1104" s="4"/>
      <c r="F1104" s="10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 ht="24.75" customHeight="1">
      <c r="A1105" s="4"/>
      <c r="B1105" s="4"/>
      <c r="C1105" s="4"/>
      <c r="D1105" s="4"/>
      <c r="E1105" s="4"/>
      <c r="F1105" s="10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 ht="24.75" customHeight="1">
      <c r="A1106" s="4"/>
      <c r="B1106" s="4"/>
      <c r="C1106" s="4"/>
      <c r="D1106" s="4"/>
      <c r="E1106" s="4"/>
      <c r="F1106" s="10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 ht="24.75" customHeight="1">
      <c r="A1107" s="4"/>
      <c r="B1107" s="4"/>
      <c r="C1107" s="4"/>
      <c r="D1107" s="4"/>
      <c r="E1107" s="4"/>
      <c r="F1107" s="10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 ht="24.75" customHeight="1">
      <c r="A1108" s="4"/>
      <c r="B1108" s="4"/>
      <c r="C1108" s="4"/>
      <c r="D1108" s="4"/>
      <c r="E1108" s="4"/>
      <c r="F1108" s="10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 ht="24.75" customHeight="1">
      <c r="A1109" s="4"/>
      <c r="B1109" s="4"/>
      <c r="C1109" s="4"/>
      <c r="D1109" s="4"/>
      <c r="E1109" s="4"/>
      <c r="F1109" s="10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 ht="24.75" customHeight="1">
      <c r="A1110" s="4"/>
      <c r="B1110" s="4"/>
      <c r="C1110" s="4"/>
      <c r="D1110" s="4"/>
      <c r="E1110" s="4"/>
      <c r="F1110" s="10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 ht="24.75" customHeight="1">
      <c r="A1111" s="4"/>
      <c r="B1111" s="4"/>
      <c r="C1111" s="4"/>
      <c r="D1111" s="4"/>
      <c r="E1111" s="4"/>
      <c r="F1111" s="10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 ht="24.75" customHeight="1">
      <c r="A1112" s="4"/>
      <c r="B1112" s="4"/>
      <c r="C1112" s="4"/>
      <c r="D1112" s="4"/>
      <c r="E1112" s="4"/>
      <c r="F1112" s="10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 ht="24.75" customHeight="1">
      <c r="A1113" s="4"/>
      <c r="B1113" s="4"/>
      <c r="C1113" s="4"/>
      <c r="D1113" s="4"/>
      <c r="E1113" s="4"/>
      <c r="F1113" s="10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 ht="24.75" customHeight="1">
      <c r="A1114" s="4"/>
      <c r="B1114" s="4"/>
      <c r="C1114" s="4"/>
      <c r="D1114" s="4"/>
      <c r="E1114" s="4"/>
      <c r="F1114" s="10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 ht="24.75" customHeight="1">
      <c r="A1115" s="4"/>
      <c r="B1115" s="4"/>
      <c r="C1115" s="4"/>
      <c r="D1115" s="4"/>
      <c r="E1115" s="4"/>
      <c r="F1115" s="10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 ht="24.75" customHeight="1">
      <c r="A1116" s="4"/>
      <c r="B1116" s="4"/>
      <c r="C1116" s="4"/>
      <c r="D1116" s="4"/>
      <c r="E1116" s="4"/>
      <c r="F1116" s="10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 ht="24.75" customHeight="1">
      <c r="A1117" s="4"/>
      <c r="B1117" s="4"/>
      <c r="C1117" s="4"/>
      <c r="D1117" s="4"/>
      <c r="E1117" s="4"/>
      <c r="F1117" s="10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  <row r="1118" ht="24.75" customHeight="1">
      <c r="A1118" s="4"/>
      <c r="B1118" s="4"/>
      <c r="C1118" s="4"/>
      <c r="D1118" s="4"/>
      <c r="E1118" s="4"/>
      <c r="F1118" s="10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</row>
    <row r="1119" ht="24.75" customHeight="1">
      <c r="A1119" s="4"/>
      <c r="B1119" s="4"/>
      <c r="C1119" s="4"/>
      <c r="D1119" s="4"/>
      <c r="E1119" s="4"/>
      <c r="F1119" s="10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  <row r="1120" ht="24.75" customHeight="1">
      <c r="A1120" s="4"/>
      <c r="B1120" s="4"/>
      <c r="C1120" s="4"/>
      <c r="D1120" s="4"/>
      <c r="E1120" s="4"/>
      <c r="F1120" s="10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</row>
    <row r="1121" ht="24.75" customHeight="1">
      <c r="A1121" s="4"/>
      <c r="B1121" s="4"/>
      <c r="C1121" s="4"/>
      <c r="D1121" s="4"/>
      <c r="E1121" s="4"/>
      <c r="F1121" s="10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</row>
    <row r="1122" ht="24.75" customHeight="1">
      <c r="A1122" s="4"/>
      <c r="B1122" s="4"/>
      <c r="C1122" s="4"/>
      <c r="D1122" s="4"/>
      <c r="E1122" s="4"/>
      <c r="F1122" s="10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</row>
    <row r="1123" ht="24.75" customHeight="1">
      <c r="A1123" s="4"/>
      <c r="B1123" s="4"/>
      <c r="C1123" s="4"/>
      <c r="D1123" s="4"/>
      <c r="E1123" s="4"/>
      <c r="F1123" s="10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</row>
    <row r="1124" ht="24.75" customHeight="1">
      <c r="A1124" s="4"/>
      <c r="B1124" s="4"/>
      <c r="C1124" s="4"/>
      <c r="D1124" s="4"/>
      <c r="E1124" s="4"/>
      <c r="F1124" s="10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</row>
    <row r="1125" ht="24.75" customHeight="1">
      <c r="A1125" s="4"/>
      <c r="B1125" s="4"/>
      <c r="C1125" s="4"/>
      <c r="D1125" s="4"/>
      <c r="E1125" s="4"/>
      <c r="F1125" s="10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</row>
    <row r="1126" ht="24.75" customHeight="1">
      <c r="A1126" s="4"/>
      <c r="B1126" s="4"/>
      <c r="C1126" s="4"/>
      <c r="D1126" s="4"/>
      <c r="E1126" s="4"/>
      <c r="F1126" s="10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</row>
    <row r="1127" ht="24.75" customHeight="1">
      <c r="A1127" s="4"/>
      <c r="B1127" s="4"/>
      <c r="C1127" s="4"/>
      <c r="D1127" s="4"/>
      <c r="E1127" s="4"/>
      <c r="F1127" s="10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</row>
    <row r="1128" ht="24.75" customHeight="1">
      <c r="A1128" s="4"/>
      <c r="B1128" s="4"/>
      <c r="C1128" s="4"/>
      <c r="D1128" s="4"/>
      <c r="E1128" s="4"/>
      <c r="F1128" s="10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</row>
    <row r="1129" ht="24.75" customHeight="1">
      <c r="A1129" s="4"/>
      <c r="B1129" s="4"/>
      <c r="C1129" s="4"/>
      <c r="D1129" s="4"/>
      <c r="E1129" s="4"/>
      <c r="F1129" s="10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</row>
    <row r="1130" ht="24.75" customHeight="1">
      <c r="A1130" s="4"/>
      <c r="B1130" s="4"/>
      <c r="C1130" s="4"/>
      <c r="D1130" s="4"/>
      <c r="E1130" s="4"/>
      <c r="F1130" s="10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</row>
    <row r="1131" ht="24.75" customHeight="1">
      <c r="A1131" s="4"/>
      <c r="B1131" s="4"/>
      <c r="C1131" s="4"/>
      <c r="D1131" s="4"/>
      <c r="E1131" s="4"/>
      <c r="F1131" s="10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</row>
    <row r="1132" ht="24.75" customHeight="1">
      <c r="A1132" s="4"/>
      <c r="B1132" s="4"/>
      <c r="C1132" s="4"/>
      <c r="D1132" s="4"/>
      <c r="E1132" s="4"/>
      <c r="F1132" s="10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</row>
    <row r="1133" ht="24.75" customHeight="1">
      <c r="A1133" s="4"/>
      <c r="B1133" s="4"/>
      <c r="C1133" s="4"/>
      <c r="D1133" s="4"/>
      <c r="E1133" s="4"/>
      <c r="F1133" s="10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</row>
    <row r="1134" ht="24.75" customHeight="1">
      <c r="A1134" s="4"/>
      <c r="B1134" s="4"/>
      <c r="C1134" s="4"/>
      <c r="D1134" s="4"/>
      <c r="E1134" s="4"/>
      <c r="F1134" s="10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</row>
    <row r="1135" ht="24.75" customHeight="1">
      <c r="A1135" s="4"/>
      <c r="B1135" s="4"/>
      <c r="C1135" s="4"/>
      <c r="D1135" s="4"/>
      <c r="E1135" s="4"/>
      <c r="F1135" s="10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</row>
    <row r="1136" ht="24.75" customHeight="1">
      <c r="A1136" s="4"/>
      <c r="B1136" s="4"/>
      <c r="C1136" s="4"/>
      <c r="D1136" s="4"/>
      <c r="E1136" s="4"/>
      <c r="F1136" s="10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</row>
    <row r="1137" ht="24.75" customHeight="1">
      <c r="A1137" s="4"/>
      <c r="B1137" s="4"/>
      <c r="C1137" s="4"/>
      <c r="D1137" s="4"/>
      <c r="E1137" s="4"/>
      <c r="F1137" s="10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</row>
    <row r="1138" ht="24.75" customHeight="1">
      <c r="A1138" s="4"/>
      <c r="B1138" s="4"/>
      <c r="C1138" s="4"/>
      <c r="D1138" s="4"/>
      <c r="E1138" s="4"/>
      <c r="F1138" s="10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</row>
    <row r="1139" ht="24.75" customHeight="1">
      <c r="A1139" s="4"/>
      <c r="B1139" s="4"/>
      <c r="C1139" s="4"/>
      <c r="D1139" s="4"/>
      <c r="E1139" s="4"/>
      <c r="F1139" s="10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</row>
    <row r="1140" ht="24.75" customHeight="1">
      <c r="A1140" s="4"/>
      <c r="B1140" s="4"/>
      <c r="C1140" s="4"/>
      <c r="D1140" s="4"/>
      <c r="E1140" s="4"/>
      <c r="F1140" s="10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</row>
    <row r="1141" ht="24.75" customHeight="1">
      <c r="A1141" s="4"/>
      <c r="B1141" s="4"/>
      <c r="C1141" s="4"/>
      <c r="D1141" s="4"/>
      <c r="E1141" s="4"/>
      <c r="F1141" s="10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</row>
    <row r="1142" ht="24.75" customHeight="1">
      <c r="A1142" s="4"/>
      <c r="B1142" s="4"/>
      <c r="C1142" s="4"/>
      <c r="D1142" s="4"/>
      <c r="E1142" s="4"/>
      <c r="F1142" s="10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</row>
    <row r="1143" ht="24.75" customHeight="1">
      <c r="A1143" s="4"/>
      <c r="B1143" s="4"/>
      <c r="C1143" s="4"/>
      <c r="D1143" s="4"/>
      <c r="E1143" s="4"/>
      <c r="F1143" s="10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</row>
    <row r="1144" ht="24.75" customHeight="1">
      <c r="A1144" s="4"/>
      <c r="B1144" s="4"/>
      <c r="C1144" s="4"/>
      <c r="D1144" s="4"/>
      <c r="E1144" s="4"/>
      <c r="F1144" s="10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</row>
    <row r="1145" ht="24.75" customHeight="1">
      <c r="A1145" s="4"/>
      <c r="B1145" s="4"/>
      <c r="C1145" s="4"/>
      <c r="D1145" s="4"/>
      <c r="E1145" s="4"/>
      <c r="F1145" s="10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</row>
    <row r="1146" ht="24.75" customHeight="1">
      <c r="A1146" s="4"/>
      <c r="B1146" s="4"/>
      <c r="C1146" s="4"/>
      <c r="D1146" s="4"/>
      <c r="E1146" s="4"/>
      <c r="F1146" s="10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</row>
    <row r="1147" ht="24.75" customHeight="1">
      <c r="A1147" s="4"/>
      <c r="B1147" s="4"/>
      <c r="C1147" s="4"/>
      <c r="D1147" s="4"/>
      <c r="E1147" s="4"/>
      <c r="F1147" s="10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</row>
    <row r="1148" ht="24.75" customHeight="1">
      <c r="A1148" s="4"/>
      <c r="B1148" s="4"/>
      <c r="C1148" s="4"/>
      <c r="D1148" s="4"/>
      <c r="E1148" s="4"/>
      <c r="F1148" s="10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</row>
    <row r="1149" ht="24.75" customHeight="1">
      <c r="A1149" s="4"/>
      <c r="B1149" s="4"/>
      <c r="C1149" s="4"/>
      <c r="D1149" s="4"/>
      <c r="E1149" s="4"/>
      <c r="F1149" s="10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</row>
    <row r="1150" ht="24.75" customHeight="1">
      <c r="A1150" s="4"/>
      <c r="B1150" s="4"/>
      <c r="C1150" s="4"/>
      <c r="D1150" s="4"/>
      <c r="E1150" s="4"/>
      <c r="F1150" s="10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</row>
    <row r="1151" ht="24.75" customHeight="1">
      <c r="A1151" s="4"/>
      <c r="B1151" s="4"/>
      <c r="C1151" s="4"/>
      <c r="D1151" s="4"/>
      <c r="E1151" s="4"/>
      <c r="F1151" s="10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</row>
    <row r="1152" ht="24.75" customHeight="1">
      <c r="A1152" s="4"/>
      <c r="B1152" s="4"/>
      <c r="C1152" s="4"/>
      <c r="D1152" s="4"/>
      <c r="E1152" s="4"/>
      <c r="F1152" s="10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</row>
    <row r="1153" ht="24.75" customHeight="1">
      <c r="A1153" s="4"/>
      <c r="B1153" s="4"/>
      <c r="C1153" s="4"/>
      <c r="D1153" s="4"/>
      <c r="E1153" s="4"/>
      <c r="F1153" s="10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</row>
    <row r="1154" ht="24.75" customHeight="1">
      <c r="A1154" s="4"/>
      <c r="B1154" s="4"/>
      <c r="C1154" s="4"/>
      <c r="D1154" s="4"/>
      <c r="E1154" s="4"/>
      <c r="F1154" s="10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</row>
    <row r="1155" ht="24.75" customHeight="1">
      <c r="A1155" s="4"/>
      <c r="B1155" s="4"/>
      <c r="C1155" s="4"/>
      <c r="D1155" s="4"/>
      <c r="E1155" s="4"/>
      <c r="F1155" s="10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</row>
    <row r="1156" ht="24.75" customHeight="1">
      <c r="A1156" s="4"/>
      <c r="B1156" s="4"/>
      <c r="C1156" s="4"/>
      <c r="D1156" s="4"/>
      <c r="E1156" s="4"/>
      <c r="F1156" s="10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</row>
    <row r="1157" ht="24.75" customHeight="1">
      <c r="A1157" s="4"/>
      <c r="B1157" s="4"/>
      <c r="C1157" s="4"/>
      <c r="D1157" s="4"/>
      <c r="E1157" s="4"/>
      <c r="F1157" s="10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</row>
    <row r="1158" ht="24.75" customHeight="1">
      <c r="A1158" s="4"/>
      <c r="B1158" s="4"/>
      <c r="C1158" s="4"/>
      <c r="D1158" s="4"/>
      <c r="E1158" s="4"/>
      <c r="F1158" s="10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</row>
    <row r="1159" ht="24.75" customHeight="1">
      <c r="A1159" s="4"/>
      <c r="B1159" s="4"/>
      <c r="C1159" s="4"/>
      <c r="D1159" s="4"/>
      <c r="E1159" s="4"/>
      <c r="F1159" s="10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</row>
    <row r="1160" ht="24.75" customHeight="1">
      <c r="A1160" s="4"/>
      <c r="B1160" s="4"/>
      <c r="C1160" s="4"/>
      <c r="D1160" s="4"/>
      <c r="E1160" s="4"/>
      <c r="F1160" s="10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</row>
    <row r="1161" ht="24.75" customHeight="1">
      <c r="A1161" s="4"/>
      <c r="B1161" s="4"/>
      <c r="C1161" s="4"/>
      <c r="D1161" s="4"/>
      <c r="E1161" s="4"/>
      <c r="F1161" s="10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</row>
    <row r="1162" ht="24.75" customHeight="1">
      <c r="A1162" s="4"/>
      <c r="B1162" s="4"/>
      <c r="C1162" s="4"/>
      <c r="D1162" s="4"/>
      <c r="E1162" s="4"/>
      <c r="F1162" s="10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</row>
    <row r="1163" ht="24.75" customHeight="1">
      <c r="A1163" s="4"/>
      <c r="B1163" s="4"/>
      <c r="C1163" s="4"/>
      <c r="D1163" s="4"/>
      <c r="E1163" s="4"/>
      <c r="F1163" s="10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</row>
    <row r="1164" ht="24.75" customHeight="1">
      <c r="A1164" s="4"/>
      <c r="B1164" s="4"/>
      <c r="C1164" s="4"/>
      <c r="D1164" s="4"/>
      <c r="E1164" s="4"/>
      <c r="F1164" s="10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</row>
    <row r="1165" ht="24.75" customHeight="1">
      <c r="A1165" s="4"/>
      <c r="B1165" s="4"/>
      <c r="C1165" s="4"/>
      <c r="D1165" s="4"/>
      <c r="E1165" s="4"/>
      <c r="F1165" s="10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</row>
    <row r="1166" ht="24.75" customHeight="1">
      <c r="A1166" s="4"/>
      <c r="B1166" s="4"/>
      <c r="C1166" s="4"/>
      <c r="D1166" s="4"/>
      <c r="E1166" s="4"/>
      <c r="F1166" s="10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</row>
    <row r="1167" ht="24.75" customHeight="1">
      <c r="A1167" s="4"/>
      <c r="B1167" s="4"/>
      <c r="C1167" s="4"/>
      <c r="D1167" s="4"/>
      <c r="E1167" s="4"/>
      <c r="F1167" s="10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</row>
    <row r="1168" ht="24.75" customHeight="1">
      <c r="A1168" s="4"/>
      <c r="B1168" s="4"/>
      <c r="C1168" s="4"/>
      <c r="D1168" s="4"/>
      <c r="E1168" s="4"/>
      <c r="F1168" s="10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</row>
    <row r="1169" ht="24.75" customHeight="1">
      <c r="A1169" s="4"/>
      <c r="B1169" s="4"/>
      <c r="C1169" s="4"/>
      <c r="D1169" s="4"/>
      <c r="E1169" s="4"/>
      <c r="F1169" s="10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</row>
    <row r="1170" ht="24.75" customHeight="1">
      <c r="A1170" s="4"/>
      <c r="B1170" s="4"/>
      <c r="C1170" s="4"/>
      <c r="D1170" s="4"/>
      <c r="E1170" s="4"/>
      <c r="F1170" s="10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</row>
    <row r="1171" ht="24.75" customHeight="1">
      <c r="A1171" s="4"/>
      <c r="B1171" s="4"/>
      <c r="C1171" s="4"/>
      <c r="D1171" s="4"/>
      <c r="E1171" s="4"/>
      <c r="F1171" s="10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</row>
    <row r="1172" ht="24.75" customHeight="1">
      <c r="A1172" s="4"/>
      <c r="B1172" s="4"/>
      <c r="C1172" s="4"/>
      <c r="D1172" s="4"/>
      <c r="E1172" s="4"/>
      <c r="F1172" s="10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</row>
    <row r="1173" ht="24.75" customHeight="1">
      <c r="A1173" s="4"/>
      <c r="B1173" s="4"/>
      <c r="C1173" s="4"/>
      <c r="D1173" s="4"/>
      <c r="E1173" s="4"/>
      <c r="F1173" s="10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</row>
    <row r="1174" ht="24.75" customHeight="1">
      <c r="A1174" s="4"/>
      <c r="B1174" s="4"/>
      <c r="C1174" s="4"/>
      <c r="D1174" s="4"/>
      <c r="E1174" s="4"/>
      <c r="F1174" s="10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</row>
    <row r="1175" ht="24.75" customHeight="1">
      <c r="A1175" s="4"/>
      <c r="B1175" s="4"/>
      <c r="C1175" s="4"/>
      <c r="D1175" s="4"/>
      <c r="E1175" s="4"/>
      <c r="F1175" s="10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</row>
    <row r="1176" ht="24.75" customHeight="1">
      <c r="A1176" s="4"/>
      <c r="B1176" s="4"/>
      <c r="C1176" s="4"/>
      <c r="D1176" s="4"/>
      <c r="E1176" s="4"/>
      <c r="F1176" s="10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</row>
    <row r="1177" ht="24.75" customHeight="1">
      <c r="A1177" s="4"/>
      <c r="B1177" s="4"/>
      <c r="C1177" s="4"/>
      <c r="D1177" s="4"/>
      <c r="E1177" s="4"/>
      <c r="F1177" s="10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</row>
    <row r="1178" ht="24.75" customHeight="1">
      <c r="A1178" s="4"/>
      <c r="B1178" s="4"/>
      <c r="C1178" s="4"/>
      <c r="D1178" s="4"/>
      <c r="E1178" s="4"/>
      <c r="F1178" s="10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</row>
    <row r="1179" ht="24.75" customHeight="1">
      <c r="A1179" s="4"/>
      <c r="B1179" s="4"/>
      <c r="C1179" s="4"/>
      <c r="D1179" s="4"/>
      <c r="E1179" s="4"/>
      <c r="F1179" s="10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</row>
    <row r="1180" ht="24.75" customHeight="1">
      <c r="A1180" s="4"/>
      <c r="B1180" s="4"/>
      <c r="C1180" s="4"/>
      <c r="D1180" s="4"/>
      <c r="E1180" s="4"/>
      <c r="F1180" s="10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</row>
    <row r="1181" ht="24.75" customHeight="1">
      <c r="A1181" s="4"/>
      <c r="B1181" s="4"/>
      <c r="C1181" s="4"/>
      <c r="D1181" s="4"/>
      <c r="E1181" s="4"/>
      <c r="F1181" s="10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</row>
    <row r="1182" ht="24.75" customHeight="1">
      <c r="A1182" s="4"/>
      <c r="B1182" s="4"/>
      <c r="C1182" s="4"/>
      <c r="D1182" s="4"/>
      <c r="E1182" s="4"/>
      <c r="F1182" s="10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</row>
    <row r="1183" ht="24.75" customHeight="1">
      <c r="A1183" s="4"/>
      <c r="B1183" s="4"/>
      <c r="C1183" s="4"/>
      <c r="D1183" s="4"/>
      <c r="E1183" s="4"/>
      <c r="F1183" s="10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</row>
    <row r="1184" ht="24.75" customHeight="1">
      <c r="A1184" s="4"/>
      <c r="B1184" s="4"/>
      <c r="C1184" s="4"/>
      <c r="D1184" s="4"/>
      <c r="E1184" s="4"/>
      <c r="F1184" s="10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</row>
    <row r="1185" ht="24.75" customHeight="1">
      <c r="A1185" s="4"/>
      <c r="B1185" s="4"/>
      <c r="C1185" s="4"/>
      <c r="D1185" s="4"/>
      <c r="E1185" s="4"/>
      <c r="F1185" s="10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</row>
    <row r="1186" ht="24.75" customHeight="1">
      <c r="A1186" s="4"/>
      <c r="B1186" s="4"/>
      <c r="C1186" s="4"/>
      <c r="D1186" s="4"/>
      <c r="E1186" s="4"/>
      <c r="F1186" s="10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</row>
    <row r="1187" ht="24.75" customHeight="1">
      <c r="A1187" s="4"/>
      <c r="B1187" s="4"/>
      <c r="C1187" s="4"/>
      <c r="D1187" s="4"/>
      <c r="E1187" s="4"/>
      <c r="F1187" s="10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</row>
    <row r="1188" ht="24.75" customHeight="1">
      <c r="A1188" s="4"/>
      <c r="B1188" s="4"/>
      <c r="C1188" s="4"/>
      <c r="D1188" s="4"/>
      <c r="E1188" s="4"/>
      <c r="F1188" s="10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</row>
    <row r="1189" ht="24.75" customHeight="1">
      <c r="A1189" s="4"/>
      <c r="B1189" s="4"/>
      <c r="C1189" s="4"/>
      <c r="D1189" s="4"/>
      <c r="E1189" s="4"/>
      <c r="F1189" s="10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</row>
    <row r="1190" ht="24.75" customHeight="1">
      <c r="A1190" s="4"/>
      <c r="B1190" s="4"/>
      <c r="C1190" s="4"/>
      <c r="D1190" s="4"/>
      <c r="E1190" s="4"/>
      <c r="F1190" s="10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</row>
    <row r="1191" ht="24.75" customHeight="1">
      <c r="A1191" s="4"/>
      <c r="B1191" s="4"/>
      <c r="C1191" s="4"/>
      <c r="D1191" s="4"/>
      <c r="E1191" s="4"/>
      <c r="F1191" s="10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</row>
    <row r="1192" ht="24.75" customHeight="1">
      <c r="A1192" s="4"/>
      <c r="B1192" s="4"/>
      <c r="C1192" s="4"/>
      <c r="D1192" s="4"/>
      <c r="E1192" s="4"/>
      <c r="F1192" s="10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</row>
    <row r="1193" ht="24.75" customHeight="1">
      <c r="A1193" s="4"/>
      <c r="B1193" s="4"/>
      <c r="C1193" s="4"/>
      <c r="D1193" s="4"/>
      <c r="E1193" s="4"/>
      <c r="F1193" s="10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</row>
    <row r="1194" ht="24.75" customHeight="1">
      <c r="A1194" s="4"/>
      <c r="B1194" s="4"/>
      <c r="C1194" s="4"/>
      <c r="D1194" s="4"/>
      <c r="E1194" s="4"/>
      <c r="F1194" s="10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</row>
    <row r="1195" ht="24.75" customHeight="1">
      <c r="A1195" s="4"/>
      <c r="B1195" s="4"/>
      <c r="C1195" s="4"/>
      <c r="D1195" s="4"/>
      <c r="E1195" s="4"/>
      <c r="F1195" s="10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</row>
    <row r="1196" ht="24.75" customHeight="1">
      <c r="A1196" s="4"/>
      <c r="B1196" s="4"/>
      <c r="C1196" s="4"/>
      <c r="D1196" s="4"/>
      <c r="E1196" s="4"/>
      <c r="F1196" s="10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</row>
    <row r="1197" ht="24.75" customHeight="1">
      <c r="A1197" s="4"/>
      <c r="B1197" s="4"/>
      <c r="C1197" s="4"/>
      <c r="D1197" s="4"/>
      <c r="E1197" s="4"/>
      <c r="F1197" s="10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</row>
    <row r="1198" ht="24.75" customHeight="1">
      <c r="A1198" s="4"/>
      <c r="B1198" s="4"/>
      <c r="C1198" s="4"/>
      <c r="D1198" s="4"/>
      <c r="E1198" s="4"/>
      <c r="F1198" s="10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</row>
    <row r="1199" ht="24.75" customHeight="1">
      <c r="A1199" s="4"/>
      <c r="B1199" s="4"/>
      <c r="C1199" s="4"/>
      <c r="D1199" s="4"/>
      <c r="E1199" s="4"/>
      <c r="F1199" s="10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</row>
    <row r="1200" ht="24.75" customHeight="1">
      <c r="A1200" s="4"/>
      <c r="B1200" s="4"/>
      <c r="C1200" s="4"/>
      <c r="D1200" s="4"/>
      <c r="E1200" s="4"/>
      <c r="F1200" s="10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</row>
    <row r="1201" ht="24.75" customHeight="1">
      <c r="A1201" s="4"/>
      <c r="B1201" s="4"/>
      <c r="C1201" s="4"/>
      <c r="D1201" s="4"/>
      <c r="E1201" s="4"/>
      <c r="F1201" s="10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</row>
    <row r="1202" ht="24.75" customHeight="1">
      <c r="A1202" s="4"/>
      <c r="B1202" s="4"/>
      <c r="C1202" s="4"/>
      <c r="D1202" s="4"/>
      <c r="E1202" s="4"/>
      <c r="F1202" s="10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</row>
    <row r="1203" ht="24.75" customHeight="1">
      <c r="A1203" s="4"/>
      <c r="B1203" s="4"/>
      <c r="C1203" s="4"/>
      <c r="D1203" s="4"/>
      <c r="E1203" s="4"/>
      <c r="F1203" s="10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</row>
    <row r="1204" ht="24.75" customHeight="1">
      <c r="A1204" s="4"/>
      <c r="B1204" s="4"/>
      <c r="C1204" s="4"/>
      <c r="D1204" s="4"/>
      <c r="E1204" s="4"/>
      <c r="F1204" s="10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</row>
    <row r="1205" ht="24.75" customHeight="1">
      <c r="A1205" s="4"/>
      <c r="B1205" s="4"/>
      <c r="C1205" s="4"/>
      <c r="D1205" s="4"/>
      <c r="E1205" s="4"/>
      <c r="F1205" s="10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</row>
    <row r="1206" ht="24.75" customHeight="1">
      <c r="A1206" s="4"/>
      <c r="B1206" s="4"/>
      <c r="C1206" s="4"/>
      <c r="D1206" s="4"/>
      <c r="E1206" s="4"/>
      <c r="F1206" s="10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</row>
    <row r="1207" ht="24.75" customHeight="1">
      <c r="A1207" s="4"/>
      <c r="B1207" s="4"/>
      <c r="C1207" s="4"/>
      <c r="D1207" s="4"/>
      <c r="E1207" s="4"/>
      <c r="F1207" s="10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</row>
    <row r="1208" ht="24.75" customHeight="1">
      <c r="A1208" s="4"/>
      <c r="B1208" s="4"/>
      <c r="C1208" s="4"/>
      <c r="D1208" s="4"/>
      <c r="E1208" s="4"/>
      <c r="F1208" s="10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</row>
    <row r="1209" ht="24.75" customHeight="1">
      <c r="A1209" s="4"/>
      <c r="B1209" s="4"/>
      <c r="C1209" s="4"/>
      <c r="D1209" s="4"/>
      <c r="E1209" s="4"/>
      <c r="F1209" s="10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</row>
    <row r="1210" ht="24.75" customHeight="1">
      <c r="A1210" s="4"/>
      <c r="B1210" s="4"/>
      <c r="C1210" s="4"/>
      <c r="D1210" s="4"/>
      <c r="E1210" s="4"/>
      <c r="F1210" s="10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</row>
    <row r="1211" ht="24.75" customHeight="1">
      <c r="A1211" s="4"/>
      <c r="B1211" s="4"/>
      <c r="C1211" s="4"/>
      <c r="D1211" s="4"/>
      <c r="E1211" s="4"/>
      <c r="F1211" s="10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</row>
    <row r="1212" ht="24.75" customHeight="1">
      <c r="A1212" s="4"/>
      <c r="B1212" s="4"/>
      <c r="C1212" s="4"/>
      <c r="D1212" s="4"/>
      <c r="E1212" s="4"/>
      <c r="F1212" s="10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</row>
    <row r="1213" ht="24.75" customHeight="1">
      <c r="A1213" s="4"/>
      <c r="B1213" s="4"/>
      <c r="C1213" s="4"/>
      <c r="D1213" s="4"/>
      <c r="E1213" s="4"/>
      <c r="F1213" s="10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</row>
    <row r="1214" ht="24.75" customHeight="1">
      <c r="A1214" s="4"/>
      <c r="B1214" s="4"/>
      <c r="C1214" s="4"/>
      <c r="D1214" s="4"/>
      <c r="E1214" s="4"/>
      <c r="F1214" s="10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</row>
    <row r="1215" ht="24.75" customHeight="1">
      <c r="A1215" s="4"/>
      <c r="B1215" s="4"/>
      <c r="C1215" s="4"/>
      <c r="D1215" s="4"/>
      <c r="E1215" s="4"/>
      <c r="F1215" s="10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</row>
    <row r="1216" ht="24.75" customHeight="1">
      <c r="A1216" s="4"/>
      <c r="B1216" s="4"/>
      <c r="C1216" s="4"/>
      <c r="D1216" s="4"/>
      <c r="E1216" s="4"/>
      <c r="F1216" s="10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</row>
    <row r="1217" ht="24.75" customHeight="1">
      <c r="A1217" s="4"/>
      <c r="B1217" s="4"/>
      <c r="C1217" s="4"/>
      <c r="D1217" s="4"/>
      <c r="E1217" s="4"/>
      <c r="F1217" s="10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</row>
    <row r="1218" ht="24.75" customHeight="1">
      <c r="A1218" s="4"/>
      <c r="B1218" s="4"/>
      <c r="C1218" s="4"/>
      <c r="D1218" s="4"/>
      <c r="E1218" s="4"/>
      <c r="F1218" s="10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</row>
    <row r="1219" ht="24.75" customHeight="1">
      <c r="A1219" s="4"/>
      <c r="B1219" s="4"/>
      <c r="C1219" s="4"/>
      <c r="D1219" s="4"/>
      <c r="E1219" s="4"/>
      <c r="F1219" s="10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</row>
    <row r="1220" ht="24.75" customHeight="1">
      <c r="A1220" s="4"/>
      <c r="B1220" s="4"/>
      <c r="C1220" s="4"/>
      <c r="D1220" s="4"/>
      <c r="E1220" s="4"/>
      <c r="F1220" s="10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</row>
    <row r="1221" ht="24.75" customHeight="1">
      <c r="A1221" s="4"/>
      <c r="B1221" s="4"/>
      <c r="C1221" s="4"/>
      <c r="D1221" s="4"/>
      <c r="E1221" s="4"/>
      <c r="F1221" s="10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</row>
    <row r="1222" ht="24.75" customHeight="1">
      <c r="A1222" s="4"/>
      <c r="B1222" s="4"/>
      <c r="C1222" s="4"/>
      <c r="D1222" s="4"/>
      <c r="E1222" s="4"/>
      <c r="F1222" s="10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</row>
    <row r="1223" ht="24.75" customHeight="1">
      <c r="A1223" s="4"/>
      <c r="B1223" s="4"/>
      <c r="C1223" s="4"/>
      <c r="D1223" s="4"/>
      <c r="E1223" s="4"/>
      <c r="F1223" s="10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</row>
    <row r="1224" ht="24.75" customHeight="1">
      <c r="A1224" s="4"/>
      <c r="B1224" s="4"/>
      <c r="C1224" s="4"/>
      <c r="D1224" s="4"/>
      <c r="E1224" s="4"/>
      <c r="F1224" s="10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</row>
    <row r="1225" ht="24.75" customHeight="1">
      <c r="A1225" s="4"/>
      <c r="B1225" s="4"/>
      <c r="C1225" s="4"/>
      <c r="D1225" s="4"/>
      <c r="E1225" s="4"/>
      <c r="F1225" s="10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</row>
    <row r="1226" ht="24.75" customHeight="1">
      <c r="A1226" s="4"/>
      <c r="B1226" s="4"/>
      <c r="C1226" s="4"/>
      <c r="D1226" s="4"/>
      <c r="E1226" s="4"/>
      <c r="F1226" s="10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</row>
    <row r="1227" ht="24.75" customHeight="1">
      <c r="A1227" s="4"/>
      <c r="B1227" s="4"/>
      <c r="C1227" s="4"/>
      <c r="D1227" s="4"/>
      <c r="E1227" s="4"/>
      <c r="F1227" s="10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</row>
    <row r="1228" ht="24.75" customHeight="1">
      <c r="A1228" s="4"/>
      <c r="B1228" s="4"/>
      <c r="C1228" s="4"/>
      <c r="D1228" s="4"/>
      <c r="E1228" s="4"/>
      <c r="F1228" s="10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</row>
    <row r="1229" ht="24.75" customHeight="1">
      <c r="A1229" s="4"/>
      <c r="B1229" s="4"/>
      <c r="C1229" s="4"/>
      <c r="D1229" s="4"/>
      <c r="E1229" s="4"/>
      <c r="F1229" s="10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</row>
    <row r="1230" ht="24.75" customHeight="1">
      <c r="A1230" s="4"/>
      <c r="B1230" s="4"/>
      <c r="C1230" s="4"/>
      <c r="D1230" s="4"/>
      <c r="E1230" s="4"/>
      <c r="F1230" s="10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</row>
    <row r="1231" ht="24.75" customHeight="1">
      <c r="A1231" s="4"/>
      <c r="B1231" s="4"/>
      <c r="C1231" s="4"/>
      <c r="D1231" s="4"/>
      <c r="E1231" s="4"/>
      <c r="F1231" s="10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</row>
    <row r="1232" ht="24.75" customHeight="1">
      <c r="A1232" s="4"/>
      <c r="B1232" s="4"/>
      <c r="C1232" s="4"/>
      <c r="D1232" s="4"/>
      <c r="E1232" s="4"/>
      <c r="F1232" s="10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</row>
    <row r="1233" ht="24.75" customHeight="1">
      <c r="A1233" s="4"/>
      <c r="B1233" s="4"/>
      <c r="C1233" s="4"/>
      <c r="D1233" s="4"/>
      <c r="E1233" s="4"/>
      <c r="F1233" s="10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</row>
    <row r="1234" ht="24.75" customHeight="1">
      <c r="A1234" s="4"/>
      <c r="B1234" s="4"/>
      <c r="C1234" s="4"/>
      <c r="D1234" s="4"/>
      <c r="E1234" s="4"/>
      <c r="F1234" s="10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</row>
    <row r="1235" ht="24.75" customHeight="1">
      <c r="A1235" s="4"/>
      <c r="B1235" s="4"/>
      <c r="C1235" s="4"/>
      <c r="D1235" s="4"/>
      <c r="E1235" s="4"/>
      <c r="F1235" s="10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</row>
  </sheetData>
  <mergeCells count="1">
    <mergeCell ref="J404:T406"/>
  </mergeCells>
  <conditionalFormatting sqref="F2:F33 F35:F1235">
    <cfRule type="notContainsBlanks" dxfId="5" priority="1">
      <formula>LEN(TRIM(F2))&gt;0</formula>
    </cfRule>
  </conditionalFormatting>
  <hyperlinks>
    <hyperlink r:id="rId1" ref="E118"/>
    <hyperlink r:id="rId2" ref="J118"/>
    <hyperlink r:id="rId3" ref="J245"/>
    <hyperlink r:id="rId4" ref="J271"/>
    <hyperlink r:id="rId5" ref="H284"/>
    <hyperlink r:id="rId6" ref="G415"/>
    <hyperlink r:id="rId7" ref="G454"/>
    <hyperlink r:id="rId8" ref="C455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29"/>
    <col customWidth="1" min="2" max="2" width="19.43"/>
    <col customWidth="1" min="3" max="3" width="12.43"/>
    <col customWidth="1" min="4" max="4" width="45.14"/>
    <col customWidth="1" min="5" max="5" width="31.0"/>
  </cols>
  <sheetData>
    <row r="1" ht="36.0" customHeight="1">
      <c r="A1" s="304" t="s">
        <v>973</v>
      </c>
      <c r="B1" s="304" t="s">
        <v>974</v>
      </c>
      <c r="C1" s="304" t="s">
        <v>975</v>
      </c>
      <c r="D1" s="304" t="s">
        <v>976</v>
      </c>
      <c r="E1" s="304" t="s">
        <v>977</v>
      </c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</row>
    <row r="2">
      <c r="A2" s="306" t="s">
        <v>978</v>
      </c>
      <c r="B2" s="307" t="s">
        <v>979</v>
      </c>
      <c r="C2" s="307">
        <v>35552.0</v>
      </c>
      <c r="D2" s="306" t="s">
        <v>980</v>
      </c>
      <c r="E2" s="306" t="s">
        <v>981</v>
      </c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>
      <c r="A3" s="306" t="s">
        <v>982</v>
      </c>
      <c r="B3" s="309" t="s">
        <v>983</v>
      </c>
      <c r="C3" s="307">
        <v>35552.0</v>
      </c>
      <c r="D3" s="310" t="s">
        <v>984</v>
      </c>
      <c r="E3" s="310" t="s">
        <v>985</v>
      </c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</row>
    <row r="4">
      <c r="A4" s="312" t="s">
        <v>986</v>
      </c>
      <c r="B4" s="306" t="s">
        <v>987</v>
      </c>
      <c r="C4" s="307">
        <v>35804.0</v>
      </c>
      <c r="D4" s="310" t="s">
        <v>988</v>
      </c>
      <c r="E4" s="310" t="s">
        <v>989</v>
      </c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</row>
    <row r="5">
      <c r="A5" s="310" t="s">
        <v>990</v>
      </c>
      <c r="B5" s="310" t="s">
        <v>991</v>
      </c>
      <c r="C5" s="310">
        <v>35685.0</v>
      </c>
      <c r="D5" s="310" t="s">
        <v>992</v>
      </c>
      <c r="E5" s="310" t="s">
        <v>993</v>
      </c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</row>
    <row r="6">
      <c r="A6" s="310" t="s">
        <v>990</v>
      </c>
      <c r="B6" s="310" t="s">
        <v>994</v>
      </c>
      <c r="C6" s="310">
        <v>35558.0</v>
      </c>
      <c r="D6" s="310" t="s">
        <v>995</v>
      </c>
      <c r="E6" s="314" t="s">
        <v>996</v>
      </c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</row>
    <row r="7">
      <c r="A7" s="310" t="s">
        <v>990</v>
      </c>
      <c r="B7" s="310" t="s">
        <v>997</v>
      </c>
      <c r="C7" s="310">
        <v>35591.0</v>
      </c>
      <c r="D7" s="315" t="str">
        <f>1 (916) 612-655</f>
        <v>#ERROR!</v>
      </c>
      <c r="E7" s="314" t="s">
        <v>998</v>
      </c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</row>
    <row r="8">
      <c r="A8" s="310" t="s">
        <v>990</v>
      </c>
      <c r="B8" s="310" t="s">
        <v>999</v>
      </c>
      <c r="C8" s="310">
        <v>36433.0</v>
      </c>
      <c r="D8" s="316"/>
      <c r="E8" s="310" t="s">
        <v>1000</v>
      </c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</row>
    <row r="9">
      <c r="A9" s="310" t="s">
        <v>990</v>
      </c>
      <c r="B9" s="310" t="s">
        <v>1001</v>
      </c>
      <c r="C9" s="310">
        <v>36455.0</v>
      </c>
      <c r="D9" s="315" t="str">
        <f>+1 (916) 612-6559</f>
        <v>#ERROR!</v>
      </c>
      <c r="E9" s="310" t="s">
        <v>1002</v>
      </c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</row>
    <row r="10">
      <c r="A10" s="310" t="s">
        <v>990</v>
      </c>
      <c r="B10" s="310" t="s">
        <v>1003</v>
      </c>
      <c r="C10" s="310">
        <v>36455.0</v>
      </c>
      <c r="D10" s="315" t="str">
        <f>+1 (916) 612-6559</f>
        <v>#ERROR!</v>
      </c>
      <c r="E10" s="310" t="s">
        <v>1002</v>
      </c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</row>
    <row r="11">
      <c r="A11" s="310" t="s">
        <v>990</v>
      </c>
      <c r="B11" s="310" t="s">
        <v>1004</v>
      </c>
      <c r="C11" s="310">
        <v>36140.0</v>
      </c>
      <c r="D11" s="316"/>
      <c r="E11" s="310" t="s">
        <v>1005</v>
      </c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</row>
    <row r="12">
      <c r="A12" s="310" t="s">
        <v>990</v>
      </c>
      <c r="B12" s="310" t="s">
        <v>1006</v>
      </c>
      <c r="C12" s="310">
        <v>36603.0</v>
      </c>
      <c r="D12" s="315" t="str">
        <f>+1 (916) 612-6559</f>
        <v>#ERROR!</v>
      </c>
      <c r="E12" s="310" t="s">
        <v>1002</v>
      </c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</row>
    <row r="13">
      <c r="A13" s="310" t="s">
        <v>990</v>
      </c>
      <c r="B13" s="310" t="s">
        <v>1007</v>
      </c>
      <c r="C13" s="310">
        <v>36194.0</v>
      </c>
      <c r="D13" s="315" t="str">
        <f>+1 (240) 286-7404</f>
        <v>#ERROR!</v>
      </c>
      <c r="E13" s="310" t="s">
        <v>1008</v>
      </c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</row>
    <row r="14">
      <c r="A14" s="147" t="s">
        <v>1009</v>
      </c>
      <c r="B14" s="307" t="s">
        <v>1010</v>
      </c>
      <c r="C14" s="308"/>
      <c r="D14" s="317" t="s">
        <v>1011</v>
      </c>
      <c r="E14" s="307" t="s">
        <v>1012</v>
      </c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</row>
    <row r="15">
      <c r="A15" s="318" t="s">
        <v>1013</v>
      </c>
      <c r="B15" s="307" t="s">
        <v>1014</v>
      </c>
      <c r="C15" s="308"/>
      <c r="D15" s="311"/>
      <c r="E15" s="308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</row>
    <row r="16">
      <c r="A16" s="307" t="s">
        <v>1015</v>
      </c>
      <c r="B16" s="307" t="s">
        <v>1016</v>
      </c>
      <c r="C16" s="308"/>
      <c r="D16" s="311"/>
      <c r="E16" s="308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</row>
    <row r="17">
      <c r="A17" s="319" t="s">
        <v>1017</v>
      </c>
      <c r="B17" s="308"/>
      <c r="C17" s="308"/>
      <c r="D17" s="320" t="s">
        <v>1018</v>
      </c>
      <c r="E17" s="308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</row>
    <row r="18">
      <c r="A18" s="308"/>
      <c r="B18" s="308"/>
      <c r="C18" s="308"/>
      <c r="D18" s="311"/>
      <c r="E18" s="308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</row>
    <row r="19">
      <c r="A19" s="308"/>
      <c r="B19" s="308"/>
      <c r="C19" s="308"/>
      <c r="D19" s="311"/>
      <c r="E19" s="308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</row>
    <row r="20">
      <c r="A20" s="308"/>
      <c r="B20" s="308"/>
      <c r="C20" s="308"/>
      <c r="D20" s="311"/>
      <c r="E20" s="308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</row>
    <row r="21">
      <c r="A21" s="308"/>
      <c r="B21" s="308"/>
      <c r="C21" s="308"/>
      <c r="D21" s="311"/>
      <c r="E21" s="308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</row>
    <row r="22">
      <c r="A22" s="308"/>
      <c r="B22" s="308"/>
      <c r="C22" s="308"/>
      <c r="D22" s="311"/>
      <c r="E22" s="308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</row>
    <row r="23">
      <c r="A23" s="308"/>
      <c r="B23" s="308"/>
      <c r="C23" s="308"/>
      <c r="D23" s="311"/>
      <c r="E23" s="308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</row>
    <row r="24">
      <c r="A24" s="308"/>
      <c r="B24" s="308"/>
      <c r="C24" s="308"/>
      <c r="D24" s="311"/>
      <c r="E24" s="308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</row>
    <row r="25">
      <c r="A25" s="308"/>
      <c r="B25" s="308"/>
      <c r="C25" s="308"/>
      <c r="D25" s="311"/>
      <c r="E25" s="308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</row>
    <row r="26">
      <c r="A26" s="308"/>
      <c r="B26" s="308"/>
      <c r="C26" s="308"/>
      <c r="D26" s="311"/>
      <c r="E26" s="308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</row>
    <row r="27">
      <c r="A27" s="308"/>
      <c r="B27" s="308"/>
      <c r="C27" s="308"/>
      <c r="D27" s="311"/>
      <c r="E27" s="308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</row>
    <row r="28">
      <c r="A28" s="321"/>
      <c r="B28" s="321"/>
      <c r="C28" s="321"/>
      <c r="D28" s="322"/>
      <c r="E28" s="321"/>
    </row>
    <row r="29">
      <c r="A29" s="321"/>
      <c r="B29" s="321"/>
      <c r="C29" s="321"/>
      <c r="D29" s="322"/>
      <c r="E29" s="321"/>
    </row>
    <row r="30">
      <c r="A30" s="321"/>
      <c r="B30" s="321"/>
      <c r="C30" s="321"/>
      <c r="D30" s="322"/>
      <c r="E30" s="321"/>
    </row>
    <row r="31">
      <c r="A31" s="321"/>
      <c r="B31" s="321"/>
      <c r="C31" s="321"/>
      <c r="D31" s="322"/>
      <c r="E31" s="321"/>
    </row>
    <row r="32">
      <c r="A32" s="321"/>
      <c r="B32" s="321"/>
      <c r="C32" s="321"/>
      <c r="D32" s="322"/>
      <c r="E32" s="321"/>
    </row>
    <row r="33">
      <c r="A33" s="321"/>
      <c r="B33" s="321"/>
      <c r="C33" s="321"/>
      <c r="D33" s="322"/>
      <c r="E33" s="321"/>
    </row>
    <row r="34">
      <c r="A34" s="321"/>
      <c r="B34" s="321"/>
      <c r="C34" s="321"/>
      <c r="D34" s="322"/>
      <c r="E34" s="321"/>
    </row>
    <row r="35">
      <c r="A35" s="321"/>
      <c r="B35" s="321"/>
      <c r="C35" s="321"/>
      <c r="D35" s="322"/>
      <c r="E35" s="321"/>
    </row>
    <row r="36">
      <c r="A36" s="321"/>
      <c r="B36" s="321"/>
      <c r="C36" s="321"/>
      <c r="D36" s="322"/>
      <c r="E36" s="321"/>
    </row>
    <row r="37">
      <c r="A37" s="321"/>
      <c r="B37" s="321"/>
      <c r="C37" s="321"/>
      <c r="D37" s="322"/>
      <c r="E37" s="321"/>
    </row>
    <row r="38">
      <c r="A38" s="321"/>
      <c r="B38" s="321"/>
      <c r="C38" s="321"/>
      <c r="D38" s="322"/>
      <c r="E38" s="321"/>
    </row>
    <row r="39">
      <c r="A39" s="321"/>
      <c r="B39" s="321"/>
      <c r="C39" s="321"/>
      <c r="D39" s="322"/>
      <c r="E39" s="321"/>
    </row>
    <row r="40">
      <c r="A40" s="321"/>
      <c r="B40" s="321"/>
      <c r="C40" s="321"/>
      <c r="D40" s="322"/>
      <c r="E40" s="321"/>
    </row>
    <row r="41">
      <c r="A41" s="321"/>
      <c r="B41" s="321"/>
      <c r="C41" s="321"/>
      <c r="D41" s="322"/>
      <c r="E41" s="321"/>
    </row>
    <row r="42">
      <c r="A42" s="321"/>
      <c r="B42" s="321"/>
      <c r="C42" s="321"/>
      <c r="D42" s="322"/>
      <c r="E42" s="321"/>
    </row>
    <row r="43">
      <c r="A43" s="321"/>
      <c r="B43" s="321"/>
      <c r="C43" s="321"/>
      <c r="D43" s="322"/>
      <c r="E43" s="321"/>
    </row>
    <row r="44">
      <c r="A44" s="321"/>
      <c r="B44" s="321"/>
      <c r="C44" s="321"/>
      <c r="D44" s="322"/>
      <c r="E44" s="321"/>
    </row>
    <row r="45">
      <c r="A45" s="321"/>
      <c r="B45" s="321"/>
      <c r="C45" s="321"/>
      <c r="D45" s="322"/>
      <c r="E45" s="321"/>
    </row>
    <row r="46">
      <c r="A46" s="321"/>
      <c r="B46" s="321"/>
      <c r="C46" s="321"/>
      <c r="D46" s="322"/>
      <c r="E46" s="321"/>
    </row>
    <row r="47">
      <c r="A47" s="321"/>
      <c r="B47" s="321"/>
      <c r="C47" s="321"/>
      <c r="D47" s="322"/>
      <c r="E47" s="321"/>
    </row>
    <row r="48">
      <c r="A48" s="321"/>
      <c r="B48" s="321"/>
      <c r="C48" s="321"/>
      <c r="D48" s="322"/>
      <c r="E48" s="321"/>
    </row>
    <row r="49">
      <c r="A49" s="321"/>
      <c r="B49" s="321"/>
      <c r="C49" s="321"/>
      <c r="D49" s="322"/>
      <c r="E49" s="321"/>
    </row>
    <row r="50">
      <c r="A50" s="321"/>
      <c r="B50" s="321"/>
      <c r="C50" s="321"/>
      <c r="D50" s="322"/>
      <c r="E50" s="321"/>
    </row>
    <row r="51">
      <c r="A51" s="321"/>
      <c r="B51" s="321"/>
      <c r="C51" s="321"/>
      <c r="D51" s="322"/>
      <c r="E51" s="321"/>
    </row>
    <row r="52">
      <c r="A52" s="321"/>
      <c r="B52" s="321"/>
      <c r="C52" s="321"/>
      <c r="D52" s="322"/>
      <c r="E52" s="321"/>
    </row>
    <row r="53">
      <c r="A53" s="321"/>
      <c r="B53" s="321"/>
      <c r="C53" s="321"/>
      <c r="D53" s="322"/>
      <c r="E53" s="321"/>
    </row>
    <row r="54">
      <c r="A54" s="321"/>
      <c r="B54" s="321"/>
      <c r="C54" s="321"/>
      <c r="D54" s="322"/>
      <c r="E54" s="321"/>
    </row>
    <row r="55">
      <c r="A55" s="321"/>
      <c r="B55" s="321"/>
      <c r="C55" s="321"/>
      <c r="D55" s="322"/>
      <c r="E55" s="321"/>
    </row>
    <row r="56">
      <c r="A56" s="321"/>
      <c r="B56" s="321"/>
      <c r="C56" s="321"/>
      <c r="D56" s="322"/>
      <c r="E56" s="321"/>
    </row>
    <row r="57">
      <c r="A57" s="321"/>
      <c r="B57" s="321"/>
      <c r="C57" s="321"/>
      <c r="D57" s="322"/>
      <c r="E57" s="321"/>
    </row>
    <row r="58">
      <c r="A58" s="321"/>
      <c r="B58" s="321"/>
      <c r="C58" s="321"/>
      <c r="D58" s="322"/>
      <c r="E58" s="321"/>
    </row>
    <row r="59">
      <c r="A59" s="321"/>
      <c r="B59" s="321"/>
      <c r="C59" s="321"/>
      <c r="D59" s="322"/>
      <c r="E59" s="321"/>
    </row>
    <row r="60">
      <c r="A60" s="321"/>
      <c r="B60" s="321"/>
      <c r="C60" s="321"/>
      <c r="D60" s="322"/>
      <c r="E60" s="321"/>
    </row>
    <row r="61">
      <c r="A61" s="321"/>
      <c r="B61" s="321"/>
      <c r="C61" s="321"/>
      <c r="D61" s="322"/>
      <c r="E61" s="321"/>
    </row>
    <row r="62">
      <c r="A62" s="321"/>
      <c r="B62" s="321"/>
      <c r="C62" s="321"/>
      <c r="D62" s="322"/>
      <c r="E62" s="321"/>
    </row>
    <row r="63">
      <c r="A63" s="321"/>
      <c r="B63" s="321"/>
      <c r="C63" s="321"/>
      <c r="D63" s="322"/>
      <c r="E63" s="321"/>
    </row>
    <row r="64">
      <c r="A64" s="321"/>
      <c r="B64" s="321"/>
      <c r="C64" s="321"/>
      <c r="D64" s="322"/>
      <c r="E64" s="321"/>
    </row>
    <row r="65">
      <c r="A65" s="321"/>
      <c r="B65" s="321"/>
      <c r="C65" s="321"/>
      <c r="D65" s="322"/>
      <c r="E65" s="321"/>
    </row>
    <row r="66">
      <c r="A66" s="321"/>
      <c r="B66" s="321"/>
      <c r="C66" s="321"/>
      <c r="D66" s="322"/>
      <c r="E66" s="321"/>
    </row>
    <row r="67">
      <c r="A67" s="321"/>
      <c r="B67" s="321"/>
      <c r="C67" s="321"/>
      <c r="D67" s="322"/>
      <c r="E67" s="321"/>
    </row>
    <row r="68">
      <c r="A68" s="321"/>
      <c r="B68" s="321"/>
      <c r="C68" s="321"/>
      <c r="D68" s="322"/>
      <c r="E68" s="321"/>
    </row>
    <row r="69">
      <c r="A69" s="321"/>
      <c r="B69" s="321"/>
      <c r="C69" s="321"/>
      <c r="D69" s="322"/>
      <c r="E69" s="321"/>
    </row>
    <row r="70">
      <c r="A70" s="321"/>
      <c r="B70" s="321"/>
      <c r="C70" s="321"/>
      <c r="D70" s="322"/>
      <c r="E70" s="321"/>
    </row>
    <row r="71">
      <c r="A71" s="321"/>
      <c r="B71" s="321"/>
      <c r="C71" s="321"/>
      <c r="D71" s="322"/>
      <c r="E71" s="321"/>
    </row>
    <row r="72">
      <c r="A72" s="321"/>
      <c r="B72" s="321"/>
      <c r="C72" s="321"/>
      <c r="D72" s="322"/>
      <c r="E72" s="321"/>
    </row>
    <row r="73">
      <c r="A73" s="321"/>
      <c r="B73" s="321"/>
      <c r="C73" s="321"/>
      <c r="D73" s="322"/>
      <c r="E73" s="321"/>
    </row>
    <row r="74">
      <c r="A74" s="321"/>
      <c r="B74" s="321"/>
      <c r="C74" s="321"/>
      <c r="D74" s="322"/>
      <c r="E74" s="321"/>
    </row>
    <row r="75">
      <c r="A75" s="321"/>
      <c r="B75" s="321"/>
      <c r="C75" s="321"/>
      <c r="D75" s="322"/>
      <c r="E75" s="321"/>
    </row>
    <row r="76">
      <c r="A76" s="321"/>
      <c r="B76" s="321"/>
      <c r="C76" s="321"/>
      <c r="D76" s="322"/>
      <c r="E76" s="321"/>
    </row>
    <row r="77">
      <c r="A77" s="321"/>
      <c r="B77" s="321"/>
      <c r="C77" s="321"/>
      <c r="D77" s="322"/>
      <c r="E77" s="321"/>
    </row>
    <row r="78">
      <c r="A78" s="321"/>
      <c r="B78" s="321"/>
      <c r="C78" s="321"/>
      <c r="D78" s="322"/>
      <c r="E78" s="321"/>
    </row>
    <row r="79">
      <c r="A79" s="321"/>
      <c r="B79" s="321"/>
      <c r="C79" s="321"/>
      <c r="D79" s="322"/>
      <c r="E79" s="321"/>
    </row>
    <row r="80">
      <c r="A80" s="321"/>
      <c r="B80" s="321"/>
      <c r="C80" s="321"/>
      <c r="D80" s="322"/>
      <c r="E80" s="321"/>
    </row>
    <row r="81">
      <c r="A81" s="321"/>
      <c r="B81" s="321"/>
      <c r="C81" s="321"/>
      <c r="D81" s="322"/>
      <c r="E81" s="321"/>
    </row>
    <row r="82">
      <c r="A82" s="321"/>
      <c r="B82" s="321"/>
      <c r="C82" s="321"/>
      <c r="D82" s="322"/>
      <c r="E82" s="321"/>
    </row>
    <row r="83">
      <c r="A83" s="321"/>
      <c r="B83" s="321"/>
      <c r="C83" s="321"/>
      <c r="D83" s="322"/>
      <c r="E83" s="321"/>
    </row>
    <row r="84">
      <c r="A84" s="321"/>
      <c r="B84" s="321"/>
      <c r="C84" s="321"/>
      <c r="D84" s="322"/>
      <c r="E84" s="321"/>
    </row>
    <row r="85">
      <c r="A85" s="321"/>
      <c r="B85" s="321"/>
      <c r="C85" s="321"/>
      <c r="D85" s="322"/>
      <c r="E85" s="321"/>
    </row>
    <row r="86">
      <c r="A86" s="321"/>
      <c r="B86" s="321"/>
      <c r="C86" s="321"/>
      <c r="D86" s="322"/>
      <c r="E86" s="321"/>
    </row>
    <row r="87">
      <c r="A87" s="321"/>
      <c r="B87" s="321"/>
      <c r="C87" s="321"/>
      <c r="D87" s="322"/>
      <c r="E87" s="321"/>
    </row>
    <row r="88">
      <c r="A88" s="321"/>
      <c r="B88" s="321"/>
      <c r="C88" s="321"/>
      <c r="D88" s="322"/>
      <c r="E88" s="321"/>
    </row>
    <row r="89">
      <c r="A89" s="321"/>
      <c r="B89" s="321"/>
      <c r="C89" s="321"/>
      <c r="D89" s="322"/>
      <c r="E89" s="321"/>
    </row>
    <row r="90">
      <c r="A90" s="321"/>
      <c r="B90" s="321"/>
      <c r="C90" s="321"/>
      <c r="D90" s="322"/>
      <c r="E90" s="321"/>
    </row>
    <row r="91">
      <c r="A91" s="321"/>
      <c r="B91" s="321"/>
      <c r="C91" s="321"/>
      <c r="D91" s="322"/>
      <c r="E91" s="321"/>
    </row>
    <row r="92">
      <c r="A92" s="321"/>
      <c r="B92" s="321"/>
      <c r="C92" s="321"/>
      <c r="D92" s="322"/>
      <c r="E92" s="321"/>
    </row>
    <row r="93">
      <c r="A93" s="321"/>
      <c r="B93" s="321"/>
      <c r="C93" s="321"/>
      <c r="D93" s="322"/>
      <c r="E93" s="321"/>
    </row>
    <row r="94">
      <c r="A94" s="321"/>
      <c r="B94" s="321"/>
      <c r="C94" s="321"/>
      <c r="D94" s="322"/>
      <c r="E94" s="321"/>
    </row>
    <row r="95">
      <c r="A95" s="321"/>
      <c r="B95" s="321"/>
      <c r="C95" s="321"/>
      <c r="D95" s="322"/>
      <c r="E95" s="321"/>
    </row>
    <row r="96">
      <c r="A96" s="321"/>
      <c r="B96" s="321"/>
      <c r="C96" s="321"/>
      <c r="D96" s="322"/>
      <c r="E96" s="321"/>
    </row>
    <row r="97">
      <c r="A97" s="321"/>
      <c r="B97" s="321"/>
      <c r="C97" s="321"/>
      <c r="D97" s="322"/>
      <c r="E97" s="321"/>
    </row>
    <row r="98">
      <c r="A98" s="321"/>
      <c r="B98" s="321"/>
      <c r="C98" s="321"/>
      <c r="D98" s="322"/>
      <c r="E98" s="321"/>
    </row>
    <row r="99">
      <c r="A99" s="321"/>
      <c r="B99" s="321"/>
      <c r="C99" s="321"/>
      <c r="D99" s="322"/>
      <c r="E99" s="321"/>
    </row>
    <row r="100">
      <c r="A100" s="321"/>
      <c r="B100" s="321"/>
      <c r="C100" s="321"/>
      <c r="D100" s="322"/>
      <c r="E100" s="321"/>
    </row>
    <row r="101">
      <c r="A101" s="321"/>
      <c r="B101" s="321"/>
      <c r="C101" s="321"/>
      <c r="D101" s="322"/>
      <c r="E101" s="321"/>
    </row>
    <row r="102">
      <c r="A102" s="321"/>
      <c r="B102" s="321"/>
      <c r="C102" s="321"/>
      <c r="D102" s="322"/>
      <c r="E102" s="321"/>
    </row>
    <row r="103">
      <c r="A103" s="321"/>
      <c r="B103" s="321"/>
      <c r="C103" s="321"/>
      <c r="D103" s="322"/>
      <c r="E103" s="321"/>
    </row>
    <row r="104">
      <c r="A104" s="321"/>
      <c r="B104" s="321"/>
      <c r="C104" s="321"/>
      <c r="D104" s="322"/>
      <c r="E104" s="321"/>
    </row>
    <row r="105">
      <c r="A105" s="321"/>
      <c r="B105" s="321"/>
      <c r="C105" s="321"/>
      <c r="D105" s="322"/>
      <c r="E105" s="321"/>
    </row>
    <row r="106">
      <c r="A106" s="321"/>
      <c r="B106" s="321"/>
      <c r="C106" s="321"/>
      <c r="D106" s="322"/>
      <c r="E106" s="321"/>
    </row>
    <row r="107">
      <c r="A107" s="321"/>
      <c r="B107" s="321"/>
      <c r="C107" s="321"/>
      <c r="D107" s="322"/>
      <c r="E107" s="321"/>
    </row>
    <row r="108">
      <c r="A108" s="321"/>
      <c r="B108" s="321"/>
      <c r="C108" s="321"/>
      <c r="D108" s="322"/>
      <c r="E108" s="321"/>
    </row>
    <row r="109">
      <c r="A109" s="321"/>
      <c r="B109" s="321"/>
      <c r="C109" s="321"/>
      <c r="D109" s="322"/>
      <c r="E109" s="321"/>
    </row>
    <row r="110">
      <c r="A110" s="321"/>
      <c r="B110" s="321"/>
      <c r="C110" s="321"/>
      <c r="D110" s="322"/>
      <c r="E110" s="321"/>
    </row>
    <row r="111">
      <c r="A111" s="321"/>
      <c r="B111" s="321"/>
      <c r="C111" s="321"/>
      <c r="D111" s="322"/>
      <c r="E111" s="321"/>
    </row>
    <row r="112">
      <c r="A112" s="321"/>
      <c r="B112" s="321"/>
      <c r="C112" s="321"/>
      <c r="D112" s="322"/>
      <c r="E112" s="321"/>
    </row>
    <row r="113">
      <c r="A113" s="321"/>
      <c r="B113" s="321"/>
      <c r="C113" s="321"/>
      <c r="D113" s="322"/>
      <c r="E113" s="321"/>
    </row>
    <row r="114">
      <c r="A114" s="321"/>
      <c r="B114" s="321"/>
      <c r="C114" s="321"/>
      <c r="D114" s="322"/>
      <c r="E114" s="321"/>
    </row>
    <row r="115">
      <c r="A115" s="321"/>
      <c r="B115" s="321"/>
      <c r="C115" s="321"/>
      <c r="D115" s="322"/>
      <c r="E115" s="321"/>
    </row>
    <row r="116">
      <c r="A116" s="321"/>
      <c r="B116" s="321"/>
      <c r="C116" s="321"/>
      <c r="D116" s="322"/>
      <c r="E116" s="321"/>
    </row>
    <row r="117">
      <c r="A117" s="321"/>
      <c r="B117" s="321"/>
      <c r="C117" s="321"/>
      <c r="D117" s="322"/>
      <c r="E117" s="321"/>
    </row>
    <row r="118">
      <c r="A118" s="321"/>
      <c r="B118" s="321"/>
      <c r="C118" s="321"/>
      <c r="D118" s="322"/>
      <c r="E118" s="321"/>
    </row>
    <row r="119">
      <c r="A119" s="321"/>
      <c r="B119" s="321"/>
      <c r="C119" s="321"/>
      <c r="D119" s="322"/>
      <c r="E119" s="321"/>
    </row>
    <row r="120">
      <c r="A120" s="321"/>
      <c r="B120" s="321"/>
      <c r="C120" s="321"/>
      <c r="D120" s="322"/>
      <c r="E120" s="321"/>
    </row>
    <row r="121">
      <c r="A121" s="321"/>
      <c r="B121" s="321"/>
      <c r="C121" s="321"/>
      <c r="D121" s="322"/>
      <c r="E121" s="321"/>
    </row>
    <row r="122">
      <c r="A122" s="321"/>
      <c r="B122" s="321"/>
      <c r="C122" s="321"/>
      <c r="D122" s="322"/>
      <c r="E122" s="321"/>
    </row>
    <row r="123">
      <c r="A123" s="321"/>
      <c r="B123" s="321"/>
      <c r="C123" s="321"/>
      <c r="D123" s="322"/>
      <c r="E123" s="321"/>
    </row>
    <row r="124">
      <c r="A124" s="321"/>
      <c r="B124" s="321"/>
      <c r="C124" s="321"/>
      <c r="D124" s="322"/>
      <c r="E124" s="321"/>
    </row>
    <row r="125">
      <c r="A125" s="321"/>
      <c r="B125" s="321"/>
      <c r="C125" s="321"/>
      <c r="D125" s="322"/>
      <c r="E125" s="321"/>
    </row>
    <row r="126">
      <c r="A126" s="321"/>
      <c r="B126" s="321"/>
      <c r="C126" s="321"/>
      <c r="D126" s="322"/>
      <c r="E126" s="321"/>
    </row>
    <row r="127">
      <c r="A127" s="321"/>
      <c r="B127" s="321"/>
      <c r="C127" s="321"/>
      <c r="D127" s="322"/>
      <c r="E127" s="321"/>
    </row>
    <row r="128">
      <c r="A128" s="321"/>
      <c r="B128" s="321"/>
      <c r="C128" s="321"/>
      <c r="D128" s="322"/>
      <c r="E128" s="321"/>
    </row>
    <row r="129">
      <c r="A129" s="321"/>
      <c r="B129" s="321"/>
      <c r="C129" s="321"/>
      <c r="D129" s="322"/>
      <c r="E129" s="321"/>
    </row>
    <row r="130">
      <c r="A130" s="321"/>
      <c r="B130" s="321"/>
      <c r="C130" s="321"/>
      <c r="D130" s="322"/>
      <c r="E130" s="321"/>
    </row>
    <row r="131">
      <c r="A131" s="321"/>
      <c r="B131" s="321"/>
      <c r="C131" s="321"/>
      <c r="D131" s="322"/>
      <c r="E131" s="321"/>
    </row>
    <row r="132">
      <c r="A132" s="321"/>
      <c r="B132" s="321"/>
      <c r="C132" s="321"/>
      <c r="D132" s="322"/>
      <c r="E132" s="321"/>
    </row>
    <row r="133">
      <c r="A133" s="321"/>
      <c r="B133" s="321"/>
      <c r="C133" s="321"/>
      <c r="D133" s="322"/>
      <c r="E133" s="321"/>
    </row>
    <row r="134">
      <c r="A134" s="321"/>
      <c r="B134" s="321"/>
      <c r="C134" s="321"/>
      <c r="D134" s="322"/>
      <c r="E134" s="321"/>
    </row>
    <row r="135">
      <c r="A135" s="321"/>
      <c r="B135" s="321"/>
      <c r="C135" s="321"/>
      <c r="D135" s="322"/>
      <c r="E135" s="321"/>
    </row>
    <row r="136">
      <c r="A136" s="321"/>
      <c r="B136" s="321"/>
      <c r="C136" s="321"/>
      <c r="D136" s="322"/>
      <c r="E136" s="321"/>
    </row>
    <row r="137">
      <c r="A137" s="321"/>
      <c r="B137" s="321"/>
      <c r="C137" s="321"/>
      <c r="D137" s="322"/>
      <c r="E137" s="321"/>
    </row>
    <row r="138">
      <c r="A138" s="321"/>
      <c r="B138" s="321"/>
      <c r="C138" s="321"/>
      <c r="D138" s="322"/>
      <c r="E138" s="321"/>
    </row>
    <row r="139">
      <c r="A139" s="321"/>
      <c r="B139" s="321"/>
      <c r="C139" s="321"/>
      <c r="D139" s="322"/>
      <c r="E139" s="321"/>
    </row>
    <row r="140">
      <c r="A140" s="321"/>
      <c r="B140" s="321"/>
      <c r="C140" s="321"/>
      <c r="D140" s="322"/>
      <c r="E140" s="321"/>
    </row>
    <row r="141">
      <c r="A141" s="321"/>
      <c r="B141" s="321"/>
      <c r="C141" s="321"/>
      <c r="D141" s="322"/>
      <c r="E141" s="321"/>
    </row>
    <row r="142">
      <c r="A142" s="321"/>
      <c r="B142" s="321"/>
      <c r="C142" s="321"/>
      <c r="D142" s="322"/>
      <c r="E142" s="321"/>
    </row>
    <row r="143">
      <c r="A143" s="321"/>
      <c r="B143" s="321"/>
      <c r="C143" s="321"/>
      <c r="D143" s="322"/>
      <c r="E143" s="321"/>
    </row>
    <row r="144">
      <c r="A144" s="321"/>
      <c r="B144" s="321"/>
      <c r="C144" s="321"/>
      <c r="D144" s="322"/>
      <c r="E144" s="321"/>
    </row>
    <row r="145">
      <c r="A145" s="321"/>
      <c r="B145" s="321"/>
      <c r="C145" s="321"/>
      <c r="D145" s="322"/>
      <c r="E145" s="321"/>
    </row>
    <row r="146">
      <c r="A146" s="321"/>
      <c r="B146" s="321"/>
      <c r="C146" s="321"/>
      <c r="D146" s="322"/>
      <c r="E146" s="321"/>
    </row>
    <row r="147">
      <c r="A147" s="321"/>
      <c r="B147" s="321"/>
      <c r="C147" s="321"/>
      <c r="D147" s="322"/>
      <c r="E147" s="321"/>
    </row>
    <row r="148">
      <c r="A148" s="321"/>
      <c r="B148" s="321"/>
      <c r="C148" s="321"/>
      <c r="D148" s="322"/>
      <c r="E148" s="321"/>
    </row>
    <row r="149">
      <c r="A149" s="321"/>
      <c r="B149" s="321"/>
      <c r="C149" s="321"/>
      <c r="D149" s="322"/>
      <c r="E149" s="321"/>
    </row>
    <row r="150">
      <c r="A150" s="321"/>
      <c r="B150" s="321"/>
      <c r="C150" s="321"/>
      <c r="D150" s="322"/>
      <c r="E150" s="321"/>
    </row>
    <row r="151">
      <c r="A151" s="321"/>
      <c r="B151" s="321"/>
      <c r="C151" s="321"/>
      <c r="D151" s="322"/>
      <c r="E151" s="321"/>
    </row>
    <row r="152">
      <c r="A152" s="321"/>
      <c r="B152" s="321"/>
      <c r="C152" s="321"/>
      <c r="D152" s="322"/>
      <c r="E152" s="321"/>
    </row>
    <row r="153">
      <c r="A153" s="321"/>
      <c r="B153" s="321"/>
      <c r="C153" s="321"/>
      <c r="D153" s="322"/>
      <c r="E153" s="321"/>
    </row>
    <row r="154">
      <c r="A154" s="321"/>
      <c r="B154" s="321"/>
      <c r="C154" s="321"/>
      <c r="D154" s="322"/>
      <c r="E154" s="321"/>
    </row>
    <row r="155">
      <c r="A155" s="321"/>
      <c r="B155" s="321"/>
      <c r="C155" s="321"/>
      <c r="D155" s="322"/>
      <c r="E155" s="321"/>
    </row>
    <row r="156">
      <c r="A156" s="321"/>
      <c r="B156" s="321"/>
      <c r="C156" s="321"/>
      <c r="D156" s="322"/>
      <c r="E156" s="321"/>
    </row>
    <row r="157">
      <c r="A157" s="321"/>
      <c r="B157" s="321"/>
      <c r="C157" s="321"/>
      <c r="D157" s="322"/>
      <c r="E157" s="321"/>
    </row>
    <row r="158">
      <c r="A158" s="321"/>
      <c r="B158" s="321"/>
      <c r="C158" s="321"/>
      <c r="D158" s="322"/>
      <c r="E158" s="321"/>
    </row>
    <row r="159">
      <c r="A159" s="321"/>
      <c r="B159" s="321"/>
      <c r="C159" s="321"/>
      <c r="D159" s="322"/>
      <c r="E159" s="321"/>
    </row>
    <row r="160">
      <c r="A160" s="321"/>
      <c r="B160" s="321"/>
      <c r="C160" s="321"/>
      <c r="D160" s="322"/>
      <c r="E160" s="321"/>
    </row>
    <row r="161">
      <c r="A161" s="321"/>
      <c r="B161" s="321"/>
      <c r="C161" s="321"/>
      <c r="D161" s="322"/>
      <c r="E161" s="321"/>
    </row>
    <row r="162">
      <c r="A162" s="321"/>
      <c r="B162" s="321"/>
      <c r="C162" s="321"/>
      <c r="D162" s="322"/>
      <c r="E162" s="321"/>
    </row>
    <row r="163">
      <c r="A163" s="321"/>
      <c r="B163" s="321"/>
      <c r="C163" s="321"/>
      <c r="D163" s="322"/>
      <c r="E163" s="321"/>
    </row>
    <row r="164">
      <c r="A164" s="321"/>
      <c r="B164" s="321"/>
      <c r="C164" s="321"/>
      <c r="D164" s="322"/>
      <c r="E164" s="321"/>
    </row>
    <row r="165">
      <c r="A165" s="321"/>
      <c r="B165" s="321"/>
      <c r="C165" s="321"/>
      <c r="D165" s="322"/>
      <c r="E165" s="321"/>
    </row>
    <row r="166">
      <c r="A166" s="321"/>
      <c r="B166" s="321"/>
      <c r="C166" s="321"/>
      <c r="D166" s="322"/>
      <c r="E166" s="321"/>
    </row>
    <row r="167">
      <c r="A167" s="321"/>
      <c r="B167" s="321"/>
      <c r="C167" s="321"/>
      <c r="D167" s="322"/>
      <c r="E167" s="321"/>
    </row>
    <row r="168">
      <c r="A168" s="321"/>
      <c r="B168" s="321"/>
      <c r="C168" s="321"/>
      <c r="D168" s="322"/>
      <c r="E168" s="321"/>
    </row>
    <row r="169">
      <c r="A169" s="321"/>
      <c r="B169" s="321"/>
      <c r="C169" s="321"/>
      <c r="D169" s="322"/>
      <c r="E169" s="321"/>
    </row>
    <row r="170">
      <c r="A170" s="321"/>
      <c r="B170" s="321"/>
      <c r="C170" s="321"/>
      <c r="D170" s="322"/>
      <c r="E170" s="321"/>
    </row>
    <row r="171">
      <c r="A171" s="321"/>
      <c r="B171" s="321"/>
      <c r="C171" s="321"/>
      <c r="D171" s="322"/>
      <c r="E171" s="321"/>
    </row>
    <row r="172">
      <c r="A172" s="321"/>
      <c r="B172" s="321"/>
      <c r="C172" s="321"/>
      <c r="D172" s="322"/>
      <c r="E172" s="321"/>
    </row>
    <row r="173">
      <c r="A173" s="321"/>
      <c r="B173" s="321"/>
      <c r="C173" s="321"/>
      <c r="D173" s="322"/>
      <c r="E173" s="321"/>
    </row>
    <row r="174">
      <c r="A174" s="321"/>
      <c r="B174" s="321"/>
      <c r="C174" s="321"/>
      <c r="D174" s="322"/>
      <c r="E174" s="321"/>
    </row>
    <row r="175">
      <c r="A175" s="321"/>
      <c r="B175" s="321"/>
      <c r="C175" s="321"/>
      <c r="D175" s="322"/>
      <c r="E175" s="321"/>
    </row>
    <row r="176">
      <c r="A176" s="321"/>
      <c r="B176" s="321"/>
      <c r="C176" s="321"/>
      <c r="D176" s="322"/>
      <c r="E176" s="321"/>
    </row>
    <row r="177">
      <c r="A177" s="321"/>
      <c r="B177" s="321"/>
      <c r="C177" s="321"/>
      <c r="D177" s="322"/>
      <c r="E177" s="321"/>
    </row>
    <row r="178">
      <c r="A178" s="321"/>
      <c r="B178" s="321"/>
      <c r="C178" s="321"/>
      <c r="D178" s="322"/>
      <c r="E178" s="321"/>
    </row>
    <row r="179">
      <c r="A179" s="321"/>
      <c r="B179" s="321"/>
      <c r="C179" s="321"/>
      <c r="D179" s="322"/>
      <c r="E179" s="321"/>
    </row>
    <row r="180">
      <c r="A180" s="321"/>
      <c r="B180" s="321"/>
      <c r="C180" s="321"/>
      <c r="D180" s="322"/>
      <c r="E180" s="321"/>
    </row>
    <row r="181">
      <c r="A181" s="321"/>
      <c r="B181" s="321"/>
      <c r="C181" s="321"/>
      <c r="D181" s="322"/>
      <c r="E181" s="321"/>
    </row>
    <row r="182">
      <c r="A182" s="321"/>
      <c r="B182" s="321"/>
      <c r="C182" s="321"/>
      <c r="D182" s="322"/>
      <c r="E182" s="321"/>
    </row>
    <row r="183">
      <c r="A183" s="321"/>
      <c r="B183" s="321"/>
      <c r="C183" s="321"/>
      <c r="D183" s="322"/>
      <c r="E183" s="321"/>
    </row>
    <row r="184">
      <c r="A184" s="321"/>
      <c r="B184" s="321"/>
      <c r="C184" s="321"/>
      <c r="D184" s="322"/>
      <c r="E184" s="321"/>
    </row>
    <row r="185">
      <c r="A185" s="321"/>
      <c r="B185" s="321"/>
      <c r="C185" s="321"/>
      <c r="D185" s="322"/>
      <c r="E185" s="321"/>
    </row>
    <row r="186">
      <c r="A186" s="321"/>
      <c r="B186" s="321"/>
      <c r="C186" s="321"/>
      <c r="D186" s="322"/>
      <c r="E186" s="321"/>
    </row>
    <row r="187">
      <c r="A187" s="321"/>
      <c r="B187" s="321"/>
      <c r="C187" s="321"/>
      <c r="D187" s="322"/>
      <c r="E187" s="321"/>
    </row>
    <row r="188">
      <c r="A188" s="321"/>
      <c r="B188" s="321"/>
      <c r="C188" s="321"/>
      <c r="D188" s="322"/>
      <c r="E188" s="321"/>
    </row>
    <row r="189">
      <c r="A189" s="321"/>
      <c r="B189" s="321"/>
      <c r="C189" s="321"/>
      <c r="D189" s="322"/>
      <c r="E189" s="321"/>
    </row>
    <row r="190">
      <c r="A190" s="321"/>
      <c r="B190" s="321"/>
      <c r="C190" s="321"/>
      <c r="D190" s="322"/>
      <c r="E190" s="321"/>
    </row>
    <row r="191">
      <c r="A191" s="321"/>
      <c r="B191" s="321"/>
      <c r="C191" s="321"/>
      <c r="D191" s="322"/>
      <c r="E191" s="321"/>
    </row>
    <row r="192">
      <c r="A192" s="321"/>
      <c r="B192" s="321"/>
      <c r="C192" s="321"/>
      <c r="D192" s="322"/>
      <c r="E192" s="321"/>
    </row>
    <row r="193">
      <c r="A193" s="321"/>
      <c r="B193" s="321"/>
      <c r="C193" s="321"/>
      <c r="D193" s="322"/>
      <c r="E193" s="321"/>
    </row>
    <row r="194">
      <c r="A194" s="321"/>
      <c r="B194" s="321"/>
      <c r="C194" s="321"/>
      <c r="D194" s="322"/>
      <c r="E194" s="321"/>
    </row>
    <row r="195">
      <c r="A195" s="321"/>
      <c r="B195" s="321"/>
      <c r="C195" s="321"/>
      <c r="D195" s="322"/>
      <c r="E195" s="321"/>
    </row>
    <row r="196">
      <c r="A196" s="321"/>
      <c r="B196" s="321"/>
      <c r="C196" s="321"/>
      <c r="D196" s="322"/>
      <c r="E196" s="321"/>
    </row>
    <row r="197">
      <c r="A197" s="321"/>
      <c r="B197" s="321"/>
      <c r="C197" s="321"/>
      <c r="D197" s="322"/>
      <c r="E197" s="321"/>
    </row>
    <row r="198">
      <c r="A198" s="321"/>
      <c r="B198" s="321"/>
      <c r="C198" s="321"/>
      <c r="D198" s="322"/>
      <c r="E198" s="321"/>
    </row>
    <row r="199">
      <c r="A199" s="321"/>
      <c r="B199" s="321"/>
      <c r="C199" s="321"/>
      <c r="D199" s="322"/>
      <c r="E199" s="321"/>
    </row>
    <row r="200">
      <c r="A200" s="321"/>
      <c r="B200" s="321"/>
      <c r="C200" s="321"/>
      <c r="D200" s="322"/>
      <c r="E200" s="321"/>
    </row>
    <row r="201">
      <c r="A201" s="321"/>
      <c r="B201" s="321"/>
      <c r="C201" s="321"/>
      <c r="D201" s="322"/>
      <c r="E201" s="321"/>
    </row>
    <row r="202">
      <c r="A202" s="321"/>
      <c r="B202" s="321"/>
      <c r="C202" s="321"/>
      <c r="D202" s="322"/>
      <c r="E202" s="321"/>
    </row>
    <row r="203">
      <c r="A203" s="321"/>
      <c r="B203" s="321"/>
      <c r="C203" s="321"/>
      <c r="D203" s="322"/>
      <c r="E203" s="321"/>
    </row>
    <row r="204">
      <c r="A204" s="321"/>
      <c r="B204" s="321"/>
      <c r="C204" s="321"/>
      <c r="D204" s="322"/>
      <c r="E204" s="321"/>
    </row>
    <row r="205">
      <c r="A205" s="321"/>
      <c r="B205" s="321"/>
      <c r="C205" s="321"/>
      <c r="D205" s="322"/>
      <c r="E205" s="321"/>
    </row>
    <row r="206">
      <c r="A206" s="321"/>
      <c r="B206" s="321"/>
      <c r="C206" s="321"/>
      <c r="D206" s="322"/>
      <c r="E206" s="321"/>
    </row>
    <row r="207">
      <c r="A207" s="321"/>
      <c r="B207" s="321"/>
      <c r="C207" s="321"/>
      <c r="D207" s="322"/>
      <c r="E207" s="321"/>
    </row>
    <row r="208">
      <c r="A208" s="321"/>
      <c r="B208" s="321"/>
      <c r="C208" s="321"/>
      <c r="D208" s="322"/>
      <c r="E208" s="321"/>
    </row>
    <row r="209">
      <c r="A209" s="321"/>
      <c r="B209" s="321"/>
      <c r="C209" s="321"/>
      <c r="D209" s="322"/>
      <c r="E209" s="321"/>
    </row>
    <row r="210">
      <c r="A210" s="321"/>
      <c r="B210" s="321"/>
      <c r="C210" s="321"/>
      <c r="D210" s="322"/>
      <c r="E210" s="321"/>
    </row>
    <row r="211">
      <c r="A211" s="321"/>
      <c r="B211" s="321"/>
      <c r="C211" s="321"/>
      <c r="D211" s="322"/>
      <c r="E211" s="321"/>
    </row>
    <row r="212">
      <c r="A212" s="321"/>
      <c r="B212" s="321"/>
      <c r="C212" s="321"/>
      <c r="D212" s="322"/>
      <c r="E212" s="321"/>
    </row>
    <row r="213">
      <c r="A213" s="321"/>
      <c r="B213" s="321"/>
      <c r="C213" s="321"/>
      <c r="D213" s="322"/>
      <c r="E213" s="321"/>
    </row>
    <row r="214">
      <c r="A214" s="321"/>
      <c r="B214" s="321"/>
      <c r="C214" s="321"/>
      <c r="D214" s="322"/>
      <c r="E214" s="321"/>
    </row>
    <row r="215">
      <c r="A215" s="321"/>
      <c r="B215" s="321"/>
      <c r="C215" s="321"/>
      <c r="D215" s="322"/>
      <c r="E215" s="321"/>
    </row>
    <row r="216">
      <c r="A216" s="321"/>
      <c r="B216" s="321"/>
      <c r="C216" s="321"/>
      <c r="D216" s="322"/>
      <c r="E216" s="321"/>
    </row>
    <row r="217">
      <c r="A217" s="321"/>
      <c r="B217" s="321"/>
      <c r="C217" s="321"/>
      <c r="D217" s="322"/>
      <c r="E217" s="321"/>
    </row>
    <row r="218">
      <c r="A218" s="321"/>
      <c r="B218" s="321"/>
      <c r="C218" s="321"/>
      <c r="D218" s="322"/>
      <c r="E218" s="321"/>
    </row>
    <row r="219">
      <c r="A219" s="321"/>
      <c r="B219" s="321"/>
      <c r="C219" s="321"/>
      <c r="D219" s="322"/>
      <c r="E219" s="321"/>
    </row>
    <row r="220">
      <c r="A220" s="321"/>
      <c r="B220" s="321"/>
      <c r="C220" s="321"/>
      <c r="D220" s="322"/>
      <c r="E220" s="321"/>
    </row>
    <row r="221">
      <c r="A221" s="321"/>
      <c r="B221" s="321"/>
      <c r="C221" s="321"/>
      <c r="D221" s="322"/>
      <c r="E221" s="321"/>
    </row>
    <row r="222">
      <c r="A222" s="321"/>
      <c r="B222" s="321"/>
      <c r="C222" s="321"/>
      <c r="D222" s="322"/>
      <c r="E222" s="321"/>
    </row>
    <row r="223">
      <c r="A223" s="321"/>
      <c r="B223" s="321"/>
      <c r="C223" s="321"/>
      <c r="D223" s="322"/>
      <c r="E223" s="321"/>
    </row>
    <row r="224">
      <c r="A224" s="321"/>
      <c r="B224" s="321"/>
      <c r="C224" s="321"/>
      <c r="D224" s="322"/>
      <c r="E224" s="321"/>
    </row>
    <row r="225">
      <c r="A225" s="321"/>
      <c r="B225" s="321"/>
      <c r="C225" s="321"/>
      <c r="D225" s="322"/>
      <c r="E225" s="321"/>
    </row>
    <row r="226">
      <c r="A226" s="321"/>
      <c r="B226" s="321"/>
      <c r="C226" s="321"/>
      <c r="D226" s="322"/>
      <c r="E226" s="321"/>
    </row>
    <row r="227">
      <c r="A227" s="321"/>
      <c r="B227" s="321"/>
      <c r="C227" s="321"/>
      <c r="D227" s="322"/>
      <c r="E227" s="321"/>
    </row>
    <row r="228">
      <c r="A228" s="321"/>
      <c r="B228" s="321"/>
      <c r="C228" s="321"/>
      <c r="D228" s="322"/>
      <c r="E228" s="321"/>
    </row>
    <row r="229">
      <c r="A229" s="321"/>
      <c r="B229" s="321"/>
      <c r="C229" s="321"/>
      <c r="D229" s="322"/>
      <c r="E229" s="321"/>
    </row>
    <row r="230">
      <c r="A230" s="321"/>
      <c r="B230" s="321"/>
      <c r="C230" s="321"/>
      <c r="D230" s="322"/>
      <c r="E230" s="321"/>
    </row>
    <row r="231">
      <c r="A231" s="321"/>
      <c r="B231" s="321"/>
      <c r="C231" s="321"/>
      <c r="D231" s="322"/>
      <c r="E231" s="321"/>
    </row>
    <row r="232">
      <c r="A232" s="321"/>
      <c r="B232" s="321"/>
      <c r="C232" s="321"/>
      <c r="D232" s="322"/>
      <c r="E232" s="321"/>
    </row>
    <row r="233">
      <c r="A233" s="321"/>
      <c r="B233" s="321"/>
      <c r="C233" s="321"/>
      <c r="D233" s="322"/>
      <c r="E233" s="321"/>
    </row>
    <row r="234">
      <c r="A234" s="321"/>
      <c r="B234" s="321"/>
      <c r="C234" s="321"/>
      <c r="D234" s="322"/>
      <c r="E234" s="321"/>
    </row>
    <row r="235">
      <c r="A235" s="321"/>
      <c r="B235" s="321"/>
      <c r="C235" s="321"/>
      <c r="D235" s="322"/>
      <c r="E235" s="321"/>
    </row>
    <row r="236">
      <c r="A236" s="321"/>
      <c r="B236" s="321"/>
      <c r="C236" s="321"/>
      <c r="D236" s="322"/>
      <c r="E236" s="321"/>
    </row>
    <row r="237">
      <c r="A237" s="321"/>
      <c r="B237" s="321"/>
      <c r="C237" s="321"/>
      <c r="D237" s="322"/>
      <c r="E237" s="321"/>
    </row>
    <row r="238">
      <c r="A238" s="321"/>
      <c r="B238" s="321"/>
      <c r="C238" s="321"/>
      <c r="D238" s="322"/>
      <c r="E238" s="321"/>
    </row>
    <row r="239">
      <c r="A239" s="321"/>
      <c r="B239" s="321"/>
      <c r="C239" s="321"/>
      <c r="D239" s="322"/>
      <c r="E239" s="321"/>
    </row>
    <row r="240">
      <c r="A240" s="321"/>
      <c r="B240" s="321"/>
      <c r="C240" s="321"/>
      <c r="D240" s="322"/>
      <c r="E240" s="321"/>
    </row>
    <row r="241">
      <c r="A241" s="321"/>
      <c r="B241" s="321"/>
      <c r="C241" s="321"/>
      <c r="D241" s="322"/>
      <c r="E241" s="321"/>
    </row>
    <row r="242">
      <c r="A242" s="321"/>
      <c r="B242" s="321"/>
      <c r="C242" s="321"/>
      <c r="D242" s="322"/>
      <c r="E242" s="321"/>
    </row>
    <row r="243">
      <c r="A243" s="321"/>
      <c r="B243" s="321"/>
      <c r="C243" s="321"/>
      <c r="D243" s="322"/>
      <c r="E243" s="321"/>
    </row>
    <row r="244">
      <c r="A244" s="321"/>
      <c r="B244" s="321"/>
      <c r="C244" s="321"/>
      <c r="D244" s="322"/>
      <c r="E244" s="321"/>
    </row>
    <row r="245">
      <c r="A245" s="321"/>
      <c r="B245" s="321"/>
      <c r="C245" s="321"/>
      <c r="D245" s="322"/>
      <c r="E245" s="321"/>
    </row>
    <row r="246">
      <c r="A246" s="321"/>
      <c r="B246" s="321"/>
      <c r="C246" s="321"/>
      <c r="D246" s="322"/>
      <c r="E246" s="321"/>
    </row>
    <row r="247">
      <c r="A247" s="321"/>
      <c r="B247" s="321"/>
      <c r="C247" s="321"/>
      <c r="D247" s="322"/>
      <c r="E247" s="321"/>
    </row>
    <row r="248">
      <c r="A248" s="321"/>
      <c r="B248" s="321"/>
      <c r="C248" s="321"/>
      <c r="D248" s="322"/>
      <c r="E248" s="321"/>
    </row>
    <row r="249">
      <c r="A249" s="321"/>
      <c r="B249" s="321"/>
      <c r="C249" s="321"/>
      <c r="D249" s="322"/>
      <c r="E249" s="321"/>
    </row>
    <row r="250">
      <c r="A250" s="321"/>
      <c r="B250" s="321"/>
      <c r="C250" s="321"/>
      <c r="D250" s="322"/>
      <c r="E250" s="321"/>
    </row>
    <row r="251">
      <c r="A251" s="321"/>
      <c r="B251" s="321"/>
      <c r="C251" s="321"/>
      <c r="D251" s="322"/>
      <c r="E251" s="321"/>
    </row>
    <row r="252">
      <c r="A252" s="321"/>
      <c r="B252" s="321"/>
      <c r="C252" s="321"/>
      <c r="D252" s="322"/>
      <c r="E252" s="321"/>
    </row>
    <row r="253">
      <c r="A253" s="321"/>
      <c r="B253" s="321"/>
      <c r="C253" s="321"/>
      <c r="D253" s="322"/>
      <c r="E253" s="321"/>
    </row>
    <row r="254">
      <c r="A254" s="321"/>
      <c r="B254" s="321"/>
      <c r="C254" s="321"/>
      <c r="D254" s="322"/>
      <c r="E254" s="321"/>
    </row>
    <row r="255">
      <c r="A255" s="321"/>
      <c r="B255" s="321"/>
      <c r="C255" s="321"/>
      <c r="D255" s="322"/>
      <c r="E255" s="321"/>
    </row>
    <row r="256">
      <c r="A256" s="321"/>
      <c r="B256" s="321"/>
      <c r="C256" s="321"/>
      <c r="D256" s="322"/>
      <c r="E256" s="321"/>
    </row>
    <row r="257">
      <c r="A257" s="321"/>
      <c r="B257" s="321"/>
      <c r="C257" s="321"/>
      <c r="D257" s="322"/>
      <c r="E257" s="321"/>
    </row>
    <row r="258">
      <c r="A258" s="321"/>
      <c r="B258" s="321"/>
      <c r="C258" s="321"/>
      <c r="D258" s="322"/>
      <c r="E258" s="321"/>
    </row>
    <row r="259">
      <c r="A259" s="321"/>
      <c r="B259" s="321"/>
      <c r="C259" s="321"/>
      <c r="D259" s="322"/>
      <c r="E259" s="321"/>
    </row>
    <row r="260">
      <c r="A260" s="321"/>
      <c r="B260" s="321"/>
      <c r="C260" s="321"/>
      <c r="D260" s="322"/>
      <c r="E260" s="321"/>
    </row>
    <row r="261">
      <c r="A261" s="321"/>
      <c r="B261" s="321"/>
      <c r="C261" s="321"/>
      <c r="D261" s="322"/>
      <c r="E261" s="321"/>
    </row>
    <row r="262">
      <c r="A262" s="321"/>
      <c r="B262" s="321"/>
      <c r="C262" s="321"/>
      <c r="D262" s="322"/>
      <c r="E262" s="321"/>
    </row>
    <row r="263">
      <c r="A263" s="321"/>
      <c r="B263" s="321"/>
      <c r="C263" s="321"/>
      <c r="D263" s="322"/>
      <c r="E263" s="321"/>
    </row>
    <row r="264">
      <c r="A264" s="321"/>
      <c r="B264" s="321"/>
      <c r="C264" s="321"/>
      <c r="D264" s="322"/>
      <c r="E264" s="321"/>
    </row>
    <row r="265">
      <c r="A265" s="321"/>
      <c r="B265" s="321"/>
      <c r="C265" s="321"/>
      <c r="D265" s="322"/>
      <c r="E265" s="321"/>
    </row>
    <row r="266">
      <c r="A266" s="321"/>
      <c r="B266" s="321"/>
      <c r="C266" s="321"/>
      <c r="D266" s="322"/>
      <c r="E266" s="321"/>
    </row>
    <row r="267">
      <c r="A267" s="321"/>
      <c r="B267" s="321"/>
      <c r="C267" s="321"/>
      <c r="D267" s="322"/>
      <c r="E267" s="321"/>
    </row>
    <row r="268">
      <c r="A268" s="321"/>
      <c r="B268" s="321"/>
      <c r="C268" s="321"/>
      <c r="D268" s="322"/>
      <c r="E268" s="321"/>
    </row>
    <row r="269">
      <c r="A269" s="321"/>
      <c r="B269" s="321"/>
      <c r="C269" s="321"/>
      <c r="D269" s="322"/>
      <c r="E269" s="321"/>
    </row>
    <row r="270">
      <c r="A270" s="321"/>
      <c r="B270" s="321"/>
      <c r="C270" s="321"/>
      <c r="D270" s="322"/>
      <c r="E270" s="321"/>
    </row>
    <row r="271">
      <c r="A271" s="321"/>
      <c r="B271" s="321"/>
      <c r="C271" s="321"/>
      <c r="D271" s="322"/>
      <c r="E271" s="321"/>
    </row>
    <row r="272">
      <c r="A272" s="321"/>
      <c r="B272" s="321"/>
      <c r="C272" s="321"/>
      <c r="D272" s="322"/>
      <c r="E272" s="321"/>
    </row>
    <row r="273">
      <c r="A273" s="321"/>
      <c r="B273" s="321"/>
      <c r="C273" s="321"/>
      <c r="D273" s="322"/>
      <c r="E273" s="321"/>
    </row>
    <row r="274">
      <c r="A274" s="321"/>
      <c r="B274" s="321"/>
      <c r="C274" s="321"/>
      <c r="D274" s="322"/>
      <c r="E274" s="321"/>
    </row>
    <row r="275">
      <c r="A275" s="321"/>
      <c r="B275" s="321"/>
      <c r="C275" s="321"/>
      <c r="D275" s="322"/>
      <c r="E275" s="321"/>
    </row>
    <row r="276">
      <c r="A276" s="321"/>
      <c r="B276" s="321"/>
      <c r="C276" s="321"/>
      <c r="D276" s="322"/>
      <c r="E276" s="321"/>
    </row>
    <row r="277">
      <c r="A277" s="321"/>
      <c r="B277" s="321"/>
      <c r="C277" s="321"/>
      <c r="D277" s="322"/>
      <c r="E277" s="321"/>
    </row>
    <row r="278">
      <c r="A278" s="321"/>
      <c r="B278" s="321"/>
      <c r="C278" s="321"/>
      <c r="D278" s="322"/>
      <c r="E278" s="321"/>
    </row>
    <row r="279">
      <c r="A279" s="321"/>
      <c r="B279" s="321"/>
      <c r="C279" s="321"/>
      <c r="D279" s="322"/>
      <c r="E279" s="321"/>
    </row>
    <row r="280">
      <c r="A280" s="321"/>
      <c r="B280" s="321"/>
      <c r="C280" s="321"/>
      <c r="D280" s="322"/>
      <c r="E280" s="321"/>
    </row>
    <row r="281">
      <c r="A281" s="321"/>
      <c r="B281" s="321"/>
      <c r="C281" s="321"/>
      <c r="D281" s="322"/>
      <c r="E281" s="321"/>
    </row>
    <row r="282">
      <c r="A282" s="321"/>
      <c r="B282" s="321"/>
      <c r="C282" s="321"/>
      <c r="D282" s="322"/>
      <c r="E282" s="321"/>
    </row>
    <row r="283">
      <c r="A283" s="321"/>
      <c r="B283" s="321"/>
      <c r="C283" s="321"/>
      <c r="D283" s="322"/>
      <c r="E283" s="321"/>
    </row>
    <row r="284">
      <c r="A284" s="321"/>
      <c r="B284" s="321"/>
      <c r="C284" s="321"/>
      <c r="D284" s="322"/>
      <c r="E284" s="321"/>
    </row>
    <row r="285">
      <c r="A285" s="321"/>
      <c r="B285" s="321"/>
      <c r="C285" s="321"/>
      <c r="D285" s="322"/>
      <c r="E285" s="321"/>
    </row>
    <row r="286">
      <c r="A286" s="321"/>
      <c r="B286" s="321"/>
      <c r="C286" s="321"/>
      <c r="D286" s="322"/>
      <c r="E286" s="321"/>
    </row>
    <row r="287">
      <c r="A287" s="321"/>
      <c r="B287" s="321"/>
      <c r="C287" s="321"/>
      <c r="D287" s="322"/>
      <c r="E287" s="321"/>
    </row>
    <row r="288">
      <c r="A288" s="321"/>
      <c r="B288" s="321"/>
      <c r="C288" s="321"/>
      <c r="D288" s="322"/>
      <c r="E288" s="321"/>
    </row>
    <row r="289">
      <c r="A289" s="321"/>
      <c r="B289" s="321"/>
      <c r="C289" s="321"/>
      <c r="D289" s="322"/>
      <c r="E289" s="321"/>
    </row>
    <row r="290">
      <c r="A290" s="321"/>
      <c r="B290" s="321"/>
      <c r="C290" s="321"/>
      <c r="D290" s="322"/>
      <c r="E290" s="321"/>
    </row>
    <row r="291">
      <c r="A291" s="321"/>
      <c r="B291" s="321"/>
      <c r="C291" s="321"/>
      <c r="D291" s="322"/>
      <c r="E291" s="321"/>
    </row>
    <row r="292">
      <c r="A292" s="321"/>
      <c r="B292" s="321"/>
      <c r="C292" s="321"/>
      <c r="D292" s="322"/>
      <c r="E292" s="321"/>
    </row>
    <row r="293">
      <c r="A293" s="321"/>
      <c r="B293" s="321"/>
      <c r="C293" s="321"/>
      <c r="D293" s="322"/>
      <c r="E293" s="321"/>
    </row>
    <row r="294">
      <c r="A294" s="321"/>
      <c r="B294" s="321"/>
      <c r="C294" s="321"/>
      <c r="D294" s="322"/>
      <c r="E294" s="321"/>
    </row>
    <row r="295">
      <c r="A295" s="321"/>
      <c r="B295" s="321"/>
      <c r="C295" s="321"/>
      <c r="D295" s="322"/>
      <c r="E295" s="321"/>
    </row>
    <row r="296">
      <c r="A296" s="321"/>
      <c r="B296" s="321"/>
      <c r="C296" s="321"/>
      <c r="D296" s="322"/>
      <c r="E296" s="321"/>
    </row>
    <row r="297">
      <c r="A297" s="321"/>
      <c r="B297" s="321"/>
      <c r="C297" s="321"/>
      <c r="D297" s="322"/>
      <c r="E297" s="321"/>
    </row>
    <row r="298">
      <c r="A298" s="321"/>
      <c r="B298" s="321"/>
      <c r="C298" s="321"/>
      <c r="D298" s="322"/>
      <c r="E298" s="321"/>
    </row>
    <row r="299">
      <c r="A299" s="321"/>
      <c r="B299" s="321"/>
      <c r="C299" s="321"/>
      <c r="D299" s="322"/>
      <c r="E299" s="321"/>
    </row>
    <row r="300">
      <c r="A300" s="321"/>
      <c r="B300" s="321"/>
      <c r="C300" s="321"/>
      <c r="D300" s="322"/>
      <c r="E300" s="321"/>
    </row>
    <row r="301">
      <c r="A301" s="321"/>
      <c r="B301" s="321"/>
      <c r="C301" s="321"/>
      <c r="D301" s="322"/>
      <c r="E301" s="321"/>
    </row>
    <row r="302">
      <c r="A302" s="321"/>
      <c r="B302" s="321"/>
      <c r="C302" s="321"/>
      <c r="D302" s="322"/>
      <c r="E302" s="321"/>
    </row>
    <row r="303">
      <c r="A303" s="321"/>
      <c r="B303" s="321"/>
      <c r="C303" s="321"/>
      <c r="D303" s="322"/>
      <c r="E303" s="321"/>
    </row>
    <row r="304">
      <c r="A304" s="321"/>
      <c r="B304" s="321"/>
      <c r="C304" s="321"/>
      <c r="D304" s="322"/>
      <c r="E304" s="321"/>
    </row>
    <row r="305">
      <c r="A305" s="321"/>
      <c r="B305" s="321"/>
      <c r="C305" s="321"/>
      <c r="D305" s="322"/>
      <c r="E305" s="321"/>
    </row>
    <row r="306">
      <c r="A306" s="321"/>
      <c r="B306" s="321"/>
      <c r="C306" s="321"/>
      <c r="D306" s="322"/>
      <c r="E306" s="321"/>
    </row>
    <row r="307">
      <c r="A307" s="321"/>
      <c r="B307" s="321"/>
      <c r="C307" s="321"/>
      <c r="D307" s="322"/>
      <c r="E307" s="321"/>
    </row>
    <row r="308">
      <c r="A308" s="321"/>
      <c r="B308" s="321"/>
      <c r="C308" s="321"/>
      <c r="D308" s="322"/>
      <c r="E308" s="321"/>
    </row>
    <row r="309">
      <c r="A309" s="321"/>
      <c r="B309" s="321"/>
      <c r="C309" s="321"/>
      <c r="D309" s="322"/>
      <c r="E309" s="321"/>
    </row>
    <row r="310">
      <c r="A310" s="321"/>
      <c r="B310" s="321"/>
      <c r="C310" s="321"/>
      <c r="D310" s="322"/>
      <c r="E310" s="321"/>
    </row>
    <row r="311">
      <c r="A311" s="321"/>
      <c r="B311" s="321"/>
      <c r="C311" s="321"/>
      <c r="D311" s="322"/>
      <c r="E311" s="321"/>
    </row>
    <row r="312">
      <c r="A312" s="321"/>
      <c r="B312" s="321"/>
      <c r="C312" s="321"/>
      <c r="D312" s="322"/>
      <c r="E312" s="321"/>
    </row>
    <row r="313">
      <c r="A313" s="321"/>
      <c r="B313" s="321"/>
      <c r="C313" s="321"/>
      <c r="D313" s="322"/>
      <c r="E313" s="321"/>
    </row>
    <row r="314">
      <c r="A314" s="321"/>
      <c r="B314" s="321"/>
      <c r="C314" s="321"/>
      <c r="D314" s="322"/>
      <c r="E314" s="321"/>
    </row>
    <row r="315">
      <c r="A315" s="321"/>
      <c r="B315" s="321"/>
      <c r="C315" s="321"/>
      <c r="D315" s="322"/>
      <c r="E315" s="321"/>
    </row>
    <row r="316">
      <c r="A316" s="321"/>
      <c r="B316" s="321"/>
      <c r="C316" s="321"/>
      <c r="D316" s="322"/>
      <c r="E316" s="321"/>
    </row>
    <row r="317">
      <c r="A317" s="321"/>
      <c r="B317" s="321"/>
      <c r="C317" s="321"/>
      <c r="D317" s="322"/>
      <c r="E317" s="321"/>
    </row>
    <row r="318">
      <c r="A318" s="321"/>
      <c r="B318" s="321"/>
      <c r="C318" s="321"/>
      <c r="D318" s="322"/>
      <c r="E318" s="321"/>
    </row>
    <row r="319">
      <c r="A319" s="321"/>
      <c r="B319" s="321"/>
      <c r="C319" s="321"/>
      <c r="D319" s="322"/>
      <c r="E319" s="321"/>
    </row>
    <row r="320">
      <c r="A320" s="321"/>
      <c r="B320" s="321"/>
      <c r="C320" s="321"/>
      <c r="D320" s="322"/>
      <c r="E320" s="321"/>
    </row>
    <row r="321">
      <c r="A321" s="321"/>
      <c r="B321" s="321"/>
      <c r="C321" s="321"/>
      <c r="D321" s="322"/>
      <c r="E321" s="321"/>
    </row>
    <row r="322">
      <c r="A322" s="321"/>
      <c r="B322" s="321"/>
      <c r="C322" s="321"/>
      <c r="D322" s="322"/>
      <c r="E322" s="321"/>
    </row>
    <row r="323">
      <c r="A323" s="321"/>
      <c r="B323" s="321"/>
      <c r="C323" s="321"/>
      <c r="D323" s="322"/>
      <c r="E323" s="321"/>
    </row>
    <row r="324">
      <c r="A324" s="321"/>
      <c r="B324" s="321"/>
      <c r="C324" s="321"/>
      <c r="D324" s="322"/>
      <c r="E324" s="321"/>
    </row>
    <row r="325">
      <c r="A325" s="321"/>
      <c r="B325" s="321"/>
      <c r="C325" s="321"/>
      <c r="D325" s="322"/>
      <c r="E325" s="321"/>
    </row>
    <row r="326">
      <c r="A326" s="321"/>
      <c r="B326" s="321"/>
      <c r="C326" s="321"/>
      <c r="D326" s="322"/>
      <c r="E326" s="321"/>
    </row>
    <row r="327">
      <c r="A327" s="321"/>
      <c r="B327" s="321"/>
      <c r="C327" s="321"/>
      <c r="D327" s="322"/>
      <c r="E327" s="321"/>
    </row>
    <row r="328">
      <c r="A328" s="321"/>
      <c r="B328" s="321"/>
      <c r="C328" s="321"/>
      <c r="D328" s="322"/>
      <c r="E328" s="321"/>
    </row>
    <row r="329">
      <c r="A329" s="321"/>
      <c r="B329" s="321"/>
      <c r="C329" s="321"/>
      <c r="D329" s="322"/>
      <c r="E329" s="321"/>
    </row>
    <row r="330">
      <c r="A330" s="321"/>
      <c r="B330" s="321"/>
      <c r="C330" s="321"/>
      <c r="D330" s="322"/>
      <c r="E330" s="321"/>
    </row>
    <row r="331">
      <c r="A331" s="321"/>
      <c r="B331" s="321"/>
      <c r="C331" s="321"/>
      <c r="D331" s="322"/>
      <c r="E331" s="321"/>
    </row>
    <row r="332">
      <c r="A332" s="321"/>
      <c r="B332" s="321"/>
      <c r="C332" s="321"/>
      <c r="D332" s="322"/>
      <c r="E332" s="321"/>
    </row>
    <row r="333">
      <c r="A333" s="321"/>
      <c r="B333" s="321"/>
      <c r="C333" s="321"/>
      <c r="D333" s="322"/>
      <c r="E333" s="321"/>
    </row>
    <row r="334">
      <c r="A334" s="321"/>
      <c r="B334" s="321"/>
      <c r="C334" s="321"/>
      <c r="D334" s="322"/>
      <c r="E334" s="321"/>
    </row>
    <row r="335">
      <c r="A335" s="321"/>
      <c r="B335" s="321"/>
      <c r="C335" s="321"/>
      <c r="D335" s="322"/>
      <c r="E335" s="321"/>
    </row>
    <row r="336">
      <c r="A336" s="321"/>
      <c r="B336" s="321"/>
      <c r="C336" s="321"/>
      <c r="D336" s="322"/>
      <c r="E336" s="321"/>
    </row>
    <row r="337">
      <c r="A337" s="321"/>
      <c r="B337" s="321"/>
      <c r="C337" s="321"/>
      <c r="D337" s="322"/>
      <c r="E337" s="321"/>
    </row>
    <row r="338">
      <c r="A338" s="321"/>
      <c r="B338" s="321"/>
      <c r="C338" s="321"/>
      <c r="D338" s="322"/>
      <c r="E338" s="321"/>
    </row>
    <row r="339">
      <c r="A339" s="321"/>
      <c r="B339" s="321"/>
      <c r="C339" s="321"/>
      <c r="D339" s="322"/>
      <c r="E339" s="321"/>
    </row>
    <row r="340">
      <c r="A340" s="321"/>
      <c r="B340" s="321"/>
      <c r="C340" s="321"/>
      <c r="D340" s="322"/>
      <c r="E340" s="321"/>
    </row>
    <row r="341">
      <c r="A341" s="321"/>
      <c r="B341" s="321"/>
      <c r="C341" s="321"/>
      <c r="D341" s="322"/>
      <c r="E341" s="321"/>
    </row>
    <row r="342">
      <c r="A342" s="321"/>
      <c r="B342" s="321"/>
      <c r="C342" s="321"/>
      <c r="D342" s="322"/>
      <c r="E342" s="321"/>
    </row>
    <row r="343">
      <c r="A343" s="321"/>
      <c r="B343" s="321"/>
      <c r="C343" s="321"/>
      <c r="D343" s="322"/>
      <c r="E343" s="321"/>
    </row>
    <row r="344">
      <c r="A344" s="321"/>
      <c r="B344" s="321"/>
      <c r="C344" s="321"/>
      <c r="D344" s="322"/>
      <c r="E344" s="321"/>
    </row>
    <row r="345">
      <c r="A345" s="321"/>
      <c r="B345" s="321"/>
      <c r="C345" s="321"/>
      <c r="D345" s="322"/>
      <c r="E345" s="321"/>
    </row>
    <row r="346">
      <c r="A346" s="321"/>
      <c r="B346" s="321"/>
      <c r="C346" s="321"/>
      <c r="D346" s="322"/>
      <c r="E346" s="321"/>
    </row>
    <row r="347">
      <c r="A347" s="321"/>
      <c r="B347" s="321"/>
      <c r="C347" s="321"/>
      <c r="D347" s="322"/>
      <c r="E347" s="321"/>
    </row>
    <row r="348">
      <c r="A348" s="321"/>
      <c r="B348" s="321"/>
      <c r="C348" s="321"/>
      <c r="D348" s="322"/>
      <c r="E348" s="321"/>
    </row>
    <row r="349">
      <c r="A349" s="321"/>
      <c r="B349" s="321"/>
      <c r="C349" s="321"/>
      <c r="D349" s="322"/>
      <c r="E349" s="321"/>
    </row>
    <row r="350">
      <c r="A350" s="321"/>
      <c r="B350" s="321"/>
      <c r="C350" s="321"/>
      <c r="D350" s="322"/>
      <c r="E350" s="321"/>
    </row>
    <row r="351">
      <c r="A351" s="321"/>
      <c r="B351" s="321"/>
      <c r="C351" s="321"/>
      <c r="D351" s="322"/>
      <c r="E351" s="321"/>
    </row>
    <row r="352">
      <c r="A352" s="321"/>
      <c r="B352" s="321"/>
      <c r="C352" s="321"/>
      <c r="D352" s="322"/>
      <c r="E352" s="321"/>
    </row>
    <row r="353">
      <c r="A353" s="321"/>
      <c r="B353" s="321"/>
      <c r="C353" s="321"/>
      <c r="D353" s="322"/>
      <c r="E353" s="321"/>
    </row>
    <row r="354">
      <c r="A354" s="321"/>
      <c r="B354" s="321"/>
      <c r="C354" s="321"/>
      <c r="D354" s="322"/>
      <c r="E354" s="321"/>
    </row>
    <row r="355">
      <c r="A355" s="321"/>
      <c r="B355" s="321"/>
      <c r="C355" s="321"/>
      <c r="D355" s="322"/>
      <c r="E355" s="321"/>
    </row>
    <row r="356">
      <c r="A356" s="321"/>
      <c r="B356" s="321"/>
      <c r="C356" s="321"/>
      <c r="D356" s="322"/>
      <c r="E356" s="321"/>
    </row>
    <row r="357">
      <c r="A357" s="321"/>
      <c r="B357" s="321"/>
      <c r="C357" s="321"/>
      <c r="D357" s="322"/>
      <c r="E357" s="321"/>
    </row>
    <row r="358">
      <c r="A358" s="321"/>
      <c r="B358" s="321"/>
      <c r="C358" s="321"/>
      <c r="D358" s="322"/>
      <c r="E358" s="321"/>
    </row>
    <row r="359">
      <c r="A359" s="321"/>
      <c r="B359" s="321"/>
      <c r="C359" s="321"/>
      <c r="D359" s="322"/>
      <c r="E359" s="321"/>
    </row>
    <row r="360">
      <c r="A360" s="321"/>
      <c r="B360" s="321"/>
      <c r="C360" s="321"/>
      <c r="D360" s="322"/>
      <c r="E360" s="321"/>
    </row>
    <row r="361">
      <c r="A361" s="321"/>
      <c r="B361" s="321"/>
      <c r="C361" s="321"/>
      <c r="D361" s="322"/>
      <c r="E361" s="321"/>
    </row>
    <row r="362">
      <c r="A362" s="321"/>
      <c r="B362" s="321"/>
      <c r="C362" s="321"/>
      <c r="D362" s="322"/>
      <c r="E362" s="321"/>
    </row>
    <row r="363">
      <c r="A363" s="321"/>
      <c r="B363" s="321"/>
      <c r="C363" s="321"/>
      <c r="D363" s="322"/>
      <c r="E363" s="321"/>
    </row>
    <row r="364">
      <c r="A364" s="321"/>
      <c r="B364" s="321"/>
      <c r="C364" s="321"/>
      <c r="D364" s="322"/>
      <c r="E364" s="321"/>
    </row>
    <row r="365">
      <c r="A365" s="321"/>
      <c r="B365" s="321"/>
      <c r="C365" s="321"/>
      <c r="D365" s="322"/>
      <c r="E365" s="321"/>
    </row>
    <row r="366">
      <c r="A366" s="321"/>
      <c r="B366" s="321"/>
      <c r="C366" s="321"/>
      <c r="D366" s="322"/>
      <c r="E366" s="321"/>
    </row>
    <row r="367">
      <c r="A367" s="321"/>
      <c r="B367" s="321"/>
      <c r="C367" s="321"/>
      <c r="D367" s="322"/>
      <c r="E367" s="321"/>
    </row>
    <row r="368">
      <c r="A368" s="321"/>
      <c r="B368" s="321"/>
      <c r="C368" s="321"/>
      <c r="D368" s="322"/>
      <c r="E368" s="321"/>
    </row>
    <row r="369">
      <c r="A369" s="321"/>
      <c r="B369" s="321"/>
      <c r="C369" s="321"/>
      <c r="D369" s="322"/>
      <c r="E369" s="321"/>
    </row>
    <row r="370">
      <c r="A370" s="321"/>
      <c r="B370" s="321"/>
      <c r="C370" s="321"/>
      <c r="D370" s="322"/>
      <c r="E370" s="321"/>
    </row>
    <row r="371">
      <c r="A371" s="321"/>
      <c r="B371" s="321"/>
      <c r="C371" s="321"/>
      <c r="D371" s="322"/>
      <c r="E371" s="321"/>
    </row>
    <row r="372">
      <c r="A372" s="321"/>
      <c r="B372" s="321"/>
      <c r="C372" s="321"/>
      <c r="D372" s="322"/>
      <c r="E372" s="321"/>
    </row>
    <row r="373">
      <c r="A373" s="321"/>
      <c r="B373" s="321"/>
      <c r="C373" s="321"/>
      <c r="D373" s="322"/>
      <c r="E373" s="321"/>
    </row>
    <row r="374">
      <c r="A374" s="321"/>
      <c r="B374" s="321"/>
      <c r="C374" s="321"/>
      <c r="D374" s="322"/>
      <c r="E374" s="321"/>
    </row>
    <row r="375">
      <c r="A375" s="321"/>
      <c r="B375" s="321"/>
      <c r="C375" s="321"/>
      <c r="D375" s="322"/>
      <c r="E375" s="321"/>
    </row>
    <row r="376">
      <c r="A376" s="321"/>
      <c r="B376" s="321"/>
      <c r="C376" s="321"/>
      <c r="D376" s="322"/>
      <c r="E376" s="321"/>
    </row>
    <row r="377">
      <c r="A377" s="321"/>
      <c r="B377" s="321"/>
      <c r="C377" s="321"/>
      <c r="D377" s="322"/>
      <c r="E377" s="321"/>
    </row>
    <row r="378">
      <c r="A378" s="321"/>
      <c r="B378" s="321"/>
      <c r="C378" s="321"/>
      <c r="D378" s="322"/>
      <c r="E378" s="321"/>
    </row>
    <row r="379">
      <c r="A379" s="321"/>
      <c r="B379" s="321"/>
      <c r="C379" s="321"/>
      <c r="D379" s="322"/>
      <c r="E379" s="321"/>
    </row>
    <row r="380">
      <c r="A380" s="321"/>
      <c r="B380" s="321"/>
      <c r="C380" s="321"/>
      <c r="D380" s="322"/>
      <c r="E380" s="321"/>
    </row>
    <row r="381">
      <c r="A381" s="321"/>
      <c r="B381" s="321"/>
      <c r="C381" s="321"/>
      <c r="D381" s="322"/>
      <c r="E381" s="321"/>
    </row>
    <row r="382">
      <c r="A382" s="321"/>
      <c r="B382" s="321"/>
      <c r="C382" s="321"/>
      <c r="D382" s="322"/>
      <c r="E382" s="321"/>
    </row>
    <row r="383">
      <c r="A383" s="321"/>
      <c r="B383" s="321"/>
      <c r="C383" s="321"/>
      <c r="D383" s="322"/>
      <c r="E383" s="321"/>
    </row>
    <row r="384">
      <c r="A384" s="321"/>
      <c r="B384" s="321"/>
      <c r="C384" s="321"/>
      <c r="D384" s="322"/>
      <c r="E384" s="321"/>
    </row>
    <row r="385">
      <c r="A385" s="321"/>
      <c r="B385" s="321"/>
      <c r="C385" s="321"/>
      <c r="D385" s="322"/>
      <c r="E385" s="321"/>
    </row>
    <row r="386">
      <c r="A386" s="321"/>
      <c r="B386" s="321"/>
      <c r="C386" s="321"/>
      <c r="D386" s="322"/>
      <c r="E386" s="321"/>
    </row>
    <row r="387">
      <c r="A387" s="321"/>
      <c r="B387" s="321"/>
      <c r="C387" s="321"/>
      <c r="D387" s="322"/>
      <c r="E387" s="321"/>
    </row>
    <row r="388">
      <c r="A388" s="321"/>
      <c r="B388" s="321"/>
      <c r="C388" s="321"/>
      <c r="D388" s="322"/>
      <c r="E388" s="321"/>
    </row>
    <row r="389">
      <c r="A389" s="321"/>
      <c r="B389" s="321"/>
      <c r="C389" s="321"/>
      <c r="D389" s="322"/>
      <c r="E389" s="321"/>
    </row>
    <row r="390">
      <c r="A390" s="321"/>
      <c r="B390" s="321"/>
      <c r="C390" s="321"/>
      <c r="D390" s="322"/>
      <c r="E390" s="321"/>
    </row>
    <row r="391">
      <c r="A391" s="321"/>
      <c r="B391" s="321"/>
      <c r="C391" s="321"/>
      <c r="D391" s="322"/>
      <c r="E391" s="321"/>
    </row>
    <row r="392">
      <c r="A392" s="321"/>
      <c r="B392" s="321"/>
      <c r="C392" s="321"/>
      <c r="D392" s="322"/>
      <c r="E392" s="321"/>
    </row>
    <row r="393">
      <c r="A393" s="321"/>
      <c r="B393" s="321"/>
      <c r="C393" s="321"/>
      <c r="D393" s="322"/>
      <c r="E393" s="321"/>
    </row>
    <row r="394">
      <c r="A394" s="321"/>
      <c r="B394" s="321"/>
      <c r="C394" s="321"/>
      <c r="D394" s="322"/>
      <c r="E394" s="321"/>
    </row>
    <row r="395">
      <c r="A395" s="321"/>
      <c r="B395" s="321"/>
      <c r="C395" s="321"/>
      <c r="D395" s="322"/>
      <c r="E395" s="321"/>
    </row>
    <row r="396">
      <c r="A396" s="321"/>
      <c r="B396" s="321"/>
      <c r="C396" s="321"/>
      <c r="D396" s="322"/>
      <c r="E396" s="321"/>
    </row>
    <row r="397">
      <c r="A397" s="321"/>
      <c r="B397" s="321"/>
      <c r="C397" s="321"/>
      <c r="D397" s="322"/>
      <c r="E397" s="321"/>
    </row>
    <row r="398">
      <c r="A398" s="321"/>
      <c r="B398" s="321"/>
      <c r="C398" s="321"/>
      <c r="D398" s="322"/>
      <c r="E398" s="321"/>
    </row>
    <row r="399">
      <c r="A399" s="321"/>
      <c r="B399" s="321"/>
      <c r="C399" s="321"/>
      <c r="D399" s="322"/>
      <c r="E399" s="321"/>
    </row>
    <row r="400">
      <c r="A400" s="321"/>
      <c r="B400" s="321"/>
      <c r="C400" s="321"/>
      <c r="D400" s="322"/>
      <c r="E400" s="321"/>
    </row>
    <row r="401">
      <c r="A401" s="321"/>
      <c r="B401" s="321"/>
      <c r="C401" s="321"/>
      <c r="D401" s="322"/>
      <c r="E401" s="321"/>
    </row>
    <row r="402">
      <c r="A402" s="321"/>
      <c r="B402" s="321"/>
      <c r="C402" s="321"/>
      <c r="D402" s="322"/>
      <c r="E402" s="321"/>
    </row>
    <row r="403">
      <c r="A403" s="321"/>
      <c r="B403" s="321"/>
      <c r="C403" s="321"/>
      <c r="D403" s="322"/>
      <c r="E403" s="321"/>
    </row>
    <row r="404">
      <c r="A404" s="321"/>
      <c r="B404" s="321"/>
      <c r="C404" s="321"/>
      <c r="D404" s="322"/>
      <c r="E404" s="321"/>
    </row>
    <row r="405">
      <c r="A405" s="321"/>
      <c r="B405" s="321"/>
      <c r="C405" s="321"/>
      <c r="D405" s="322"/>
      <c r="E405" s="321"/>
    </row>
    <row r="406">
      <c r="A406" s="321"/>
      <c r="B406" s="321"/>
      <c r="C406" s="321"/>
      <c r="D406" s="322"/>
      <c r="E406" s="321"/>
    </row>
    <row r="407">
      <c r="A407" s="321"/>
      <c r="B407" s="321"/>
      <c r="C407" s="321"/>
      <c r="D407" s="322"/>
      <c r="E407" s="321"/>
    </row>
    <row r="408">
      <c r="A408" s="321"/>
      <c r="B408" s="321"/>
      <c r="C408" s="321"/>
      <c r="D408" s="322"/>
      <c r="E408" s="321"/>
    </row>
    <row r="409">
      <c r="A409" s="321"/>
      <c r="B409" s="321"/>
      <c r="C409" s="321"/>
      <c r="D409" s="322"/>
      <c r="E409" s="321"/>
    </row>
    <row r="410">
      <c r="A410" s="321"/>
      <c r="B410" s="321"/>
      <c r="C410" s="321"/>
      <c r="D410" s="322"/>
      <c r="E410" s="321"/>
    </row>
    <row r="411">
      <c r="A411" s="321"/>
      <c r="B411" s="321"/>
      <c r="C411" s="321"/>
      <c r="D411" s="322"/>
      <c r="E411" s="321"/>
    </row>
    <row r="412">
      <c r="A412" s="321"/>
      <c r="B412" s="321"/>
      <c r="C412" s="321"/>
      <c r="D412" s="322"/>
      <c r="E412" s="321"/>
    </row>
    <row r="413">
      <c r="A413" s="321"/>
      <c r="B413" s="321"/>
      <c r="C413" s="321"/>
      <c r="D413" s="322"/>
      <c r="E413" s="321"/>
    </row>
    <row r="414">
      <c r="A414" s="321"/>
      <c r="B414" s="321"/>
      <c r="C414" s="321"/>
      <c r="D414" s="322"/>
      <c r="E414" s="321"/>
    </row>
    <row r="415">
      <c r="A415" s="321"/>
      <c r="B415" s="321"/>
      <c r="C415" s="321"/>
      <c r="D415" s="322"/>
      <c r="E415" s="321"/>
    </row>
    <row r="416">
      <c r="A416" s="321"/>
      <c r="B416" s="321"/>
      <c r="C416" s="321"/>
      <c r="D416" s="322"/>
      <c r="E416" s="321"/>
    </row>
    <row r="417">
      <c r="A417" s="321"/>
      <c r="B417" s="321"/>
      <c r="C417" s="321"/>
      <c r="D417" s="322"/>
      <c r="E417" s="321"/>
    </row>
    <row r="418">
      <c r="A418" s="321"/>
      <c r="B418" s="321"/>
      <c r="C418" s="321"/>
      <c r="D418" s="322"/>
      <c r="E418" s="321"/>
    </row>
    <row r="419">
      <c r="A419" s="321"/>
      <c r="B419" s="321"/>
      <c r="C419" s="321"/>
      <c r="D419" s="322"/>
      <c r="E419" s="321"/>
    </row>
    <row r="420">
      <c r="A420" s="321"/>
      <c r="B420" s="321"/>
      <c r="C420" s="321"/>
      <c r="D420" s="322"/>
      <c r="E420" s="321"/>
    </row>
    <row r="421">
      <c r="A421" s="321"/>
      <c r="B421" s="321"/>
      <c r="C421" s="321"/>
      <c r="D421" s="322"/>
      <c r="E421" s="321"/>
    </row>
    <row r="422">
      <c r="A422" s="321"/>
      <c r="B422" s="321"/>
      <c r="C422" s="321"/>
      <c r="D422" s="322"/>
      <c r="E422" s="321"/>
    </row>
    <row r="423">
      <c r="A423" s="321"/>
      <c r="B423" s="321"/>
      <c r="C423" s="321"/>
      <c r="D423" s="322"/>
      <c r="E423" s="321"/>
    </row>
    <row r="424">
      <c r="A424" s="321"/>
      <c r="B424" s="321"/>
      <c r="C424" s="321"/>
      <c r="D424" s="322"/>
      <c r="E424" s="321"/>
    </row>
    <row r="425">
      <c r="A425" s="321"/>
      <c r="B425" s="321"/>
      <c r="C425" s="321"/>
      <c r="D425" s="322"/>
      <c r="E425" s="321"/>
    </row>
    <row r="426">
      <c r="A426" s="321"/>
      <c r="B426" s="321"/>
      <c r="C426" s="321"/>
      <c r="D426" s="322"/>
      <c r="E426" s="321"/>
    </row>
    <row r="427">
      <c r="A427" s="321"/>
      <c r="B427" s="321"/>
      <c r="C427" s="321"/>
      <c r="D427" s="322"/>
      <c r="E427" s="321"/>
    </row>
    <row r="428">
      <c r="A428" s="321"/>
      <c r="B428" s="321"/>
      <c r="C428" s="321"/>
      <c r="D428" s="322"/>
      <c r="E428" s="321"/>
    </row>
    <row r="429">
      <c r="A429" s="321"/>
      <c r="B429" s="321"/>
      <c r="C429" s="321"/>
      <c r="D429" s="322"/>
      <c r="E429" s="321"/>
    </row>
    <row r="430">
      <c r="A430" s="321"/>
      <c r="B430" s="321"/>
      <c r="C430" s="321"/>
      <c r="D430" s="322"/>
      <c r="E430" s="321"/>
    </row>
    <row r="431">
      <c r="A431" s="321"/>
      <c r="B431" s="321"/>
      <c r="C431" s="321"/>
      <c r="D431" s="322"/>
      <c r="E431" s="321"/>
    </row>
    <row r="432">
      <c r="A432" s="321"/>
      <c r="B432" s="321"/>
      <c r="C432" s="321"/>
      <c r="D432" s="322"/>
      <c r="E432" s="321"/>
    </row>
    <row r="433">
      <c r="A433" s="321"/>
      <c r="B433" s="321"/>
      <c r="C433" s="321"/>
      <c r="D433" s="322"/>
      <c r="E433" s="321"/>
    </row>
    <row r="434">
      <c r="A434" s="321"/>
      <c r="B434" s="321"/>
      <c r="C434" s="321"/>
      <c r="D434" s="322"/>
      <c r="E434" s="321"/>
    </row>
    <row r="435">
      <c r="A435" s="321"/>
      <c r="B435" s="321"/>
      <c r="C435" s="321"/>
      <c r="D435" s="322"/>
      <c r="E435" s="321"/>
    </row>
    <row r="436">
      <c r="A436" s="321"/>
      <c r="B436" s="321"/>
      <c r="C436" s="321"/>
      <c r="D436" s="322"/>
      <c r="E436" s="321"/>
    </row>
    <row r="437">
      <c r="A437" s="321"/>
      <c r="B437" s="321"/>
      <c r="C437" s="321"/>
      <c r="D437" s="322"/>
      <c r="E437" s="321"/>
    </row>
    <row r="438">
      <c r="A438" s="321"/>
      <c r="B438" s="321"/>
      <c r="C438" s="321"/>
      <c r="D438" s="322"/>
      <c r="E438" s="321"/>
    </row>
    <row r="439">
      <c r="A439" s="321"/>
      <c r="B439" s="321"/>
      <c r="C439" s="321"/>
      <c r="D439" s="322"/>
      <c r="E439" s="321"/>
    </row>
    <row r="440">
      <c r="A440" s="321"/>
      <c r="B440" s="321"/>
      <c r="C440" s="321"/>
      <c r="D440" s="322"/>
      <c r="E440" s="321"/>
    </row>
    <row r="441">
      <c r="A441" s="321"/>
      <c r="B441" s="321"/>
      <c r="C441" s="321"/>
      <c r="D441" s="322"/>
      <c r="E441" s="321"/>
    </row>
    <row r="442">
      <c r="A442" s="321"/>
      <c r="B442" s="321"/>
      <c r="C442" s="321"/>
      <c r="D442" s="322"/>
      <c r="E442" s="321"/>
    </row>
    <row r="443">
      <c r="A443" s="321"/>
      <c r="B443" s="321"/>
      <c r="C443" s="321"/>
      <c r="D443" s="322"/>
      <c r="E443" s="321"/>
    </row>
    <row r="444">
      <c r="A444" s="321"/>
      <c r="B444" s="321"/>
      <c r="C444" s="321"/>
      <c r="D444" s="322"/>
      <c r="E444" s="321"/>
    </row>
    <row r="445">
      <c r="A445" s="321"/>
      <c r="B445" s="321"/>
      <c r="C445" s="321"/>
      <c r="D445" s="322"/>
      <c r="E445" s="321"/>
    </row>
    <row r="446">
      <c r="A446" s="321"/>
      <c r="B446" s="321"/>
      <c r="C446" s="321"/>
      <c r="D446" s="322"/>
      <c r="E446" s="321"/>
    </row>
    <row r="447">
      <c r="A447" s="321"/>
      <c r="B447" s="321"/>
      <c r="C447" s="321"/>
      <c r="D447" s="322"/>
      <c r="E447" s="321"/>
    </row>
    <row r="448">
      <c r="A448" s="321"/>
      <c r="B448" s="321"/>
      <c r="C448" s="321"/>
      <c r="D448" s="322"/>
      <c r="E448" s="321"/>
    </row>
    <row r="449">
      <c r="A449" s="321"/>
      <c r="B449" s="321"/>
      <c r="C449" s="321"/>
      <c r="D449" s="322"/>
      <c r="E449" s="321"/>
    </row>
    <row r="450">
      <c r="A450" s="321"/>
      <c r="B450" s="321"/>
      <c r="C450" s="321"/>
      <c r="D450" s="322"/>
      <c r="E450" s="321"/>
    </row>
    <row r="451">
      <c r="A451" s="321"/>
      <c r="B451" s="321"/>
      <c r="C451" s="321"/>
      <c r="D451" s="322"/>
      <c r="E451" s="321"/>
    </row>
    <row r="452">
      <c r="A452" s="321"/>
      <c r="B452" s="321"/>
      <c r="C452" s="321"/>
      <c r="D452" s="322"/>
      <c r="E452" s="321"/>
    </row>
    <row r="453">
      <c r="A453" s="321"/>
      <c r="B453" s="321"/>
      <c r="C453" s="321"/>
      <c r="D453" s="322"/>
      <c r="E453" s="321"/>
    </row>
    <row r="454">
      <c r="A454" s="321"/>
      <c r="B454" s="321"/>
      <c r="C454" s="321"/>
      <c r="D454" s="322"/>
      <c r="E454" s="321"/>
    </row>
    <row r="455">
      <c r="A455" s="321"/>
      <c r="B455" s="321"/>
      <c r="C455" s="321"/>
      <c r="D455" s="322"/>
      <c r="E455" s="321"/>
    </row>
    <row r="456">
      <c r="A456" s="321"/>
      <c r="B456" s="321"/>
      <c r="C456" s="321"/>
      <c r="D456" s="322"/>
      <c r="E456" s="321"/>
    </row>
    <row r="457">
      <c r="A457" s="321"/>
      <c r="B457" s="321"/>
      <c r="C457" s="321"/>
      <c r="D457" s="322"/>
      <c r="E457" s="321"/>
    </row>
    <row r="458">
      <c r="A458" s="321"/>
      <c r="B458" s="321"/>
      <c r="C458" s="321"/>
      <c r="D458" s="322"/>
      <c r="E458" s="321"/>
    </row>
    <row r="459">
      <c r="A459" s="321"/>
      <c r="B459" s="321"/>
      <c r="C459" s="321"/>
      <c r="D459" s="322"/>
      <c r="E459" s="321"/>
    </row>
    <row r="460">
      <c r="A460" s="321"/>
      <c r="B460" s="321"/>
      <c r="C460" s="321"/>
      <c r="D460" s="322"/>
      <c r="E460" s="321"/>
    </row>
    <row r="461">
      <c r="A461" s="321"/>
      <c r="B461" s="321"/>
      <c r="C461" s="321"/>
      <c r="D461" s="322"/>
      <c r="E461" s="321"/>
    </row>
    <row r="462">
      <c r="A462" s="321"/>
      <c r="B462" s="321"/>
      <c r="C462" s="321"/>
      <c r="D462" s="322"/>
      <c r="E462" s="321"/>
    </row>
    <row r="463">
      <c r="A463" s="321"/>
      <c r="B463" s="321"/>
      <c r="C463" s="321"/>
      <c r="D463" s="322"/>
      <c r="E463" s="321"/>
    </row>
    <row r="464">
      <c r="A464" s="321"/>
      <c r="B464" s="321"/>
      <c r="C464" s="321"/>
      <c r="D464" s="322"/>
      <c r="E464" s="321"/>
    </row>
    <row r="465">
      <c r="A465" s="321"/>
      <c r="B465" s="321"/>
      <c r="C465" s="321"/>
      <c r="D465" s="322"/>
      <c r="E465" s="321"/>
    </row>
    <row r="466">
      <c r="A466" s="321"/>
      <c r="B466" s="321"/>
      <c r="C466" s="321"/>
      <c r="D466" s="322"/>
      <c r="E466" s="321"/>
    </row>
    <row r="467">
      <c r="A467" s="321"/>
      <c r="B467" s="321"/>
      <c r="C467" s="321"/>
      <c r="D467" s="322"/>
      <c r="E467" s="321"/>
    </row>
    <row r="468">
      <c r="A468" s="321"/>
      <c r="B468" s="321"/>
      <c r="C468" s="321"/>
      <c r="D468" s="322"/>
      <c r="E468" s="321"/>
    </row>
    <row r="469">
      <c r="A469" s="321"/>
      <c r="B469" s="321"/>
      <c r="C469" s="321"/>
      <c r="D469" s="322"/>
      <c r="E469" s="321"/>
    </row>
    <row r="470">
      <c r="A470" s="321"/>
      <c r="B470" s="321"/>
      <c r="C470" s="321"/>
      <c r="D470" s="322"/>
      <c r="E470" s="321"/>
    </row>
    <row r="471">
      <c r="A471" s="321"/>
      <c r="B471" s="321"/>
      <c r="C471" s="321"/>
      <c r="D471" s="322"/>
      <c r="E471" s="321"/>
    </row>
    <row r="472">
      <c r="A472" s="321"/>
      <c r="B472" s="321"/>
      <c r="C472" s="321"/>
      <c r="D472" s="322"/>
      <c r="E472" s="321"/>
    </row>
    <row r="473">
      <c r="A473" s="321"/>
      <c r="B473" s="321"/>
      <c r="C473" s="321"/>
      <c r="D473" s="322"/>
      <c r="E473" s="321"/>
    </row>
    <row r="474">
      <c r="A474" s="321"/>
      <c r="B474" s="321"/>
      <c r="C474" s="321"/>
      <c r="D474" s="322"/>
      <c r="E474" s="321"/>
    </row>
    <row r="475">
      <c r="A475" s="321"/>
      <c r="B475" s="321"/>
      <c r="C475" s="321"/>
      <c r="D475" s="322"/>
      <c r="E475" s="321"/>
    </row>
    <row r="476">
      <c r="A476" s="321"/>
      <c r="B476" s="321"/>
      <c r="C476" s="321"/>
      <c r="D476" s="322"/>
      <c r="E476" s="321"/>
    </row>
    <row r="477">
      <c r="A477" s="321"/>
      <c r="B477" s="321"/>
      <c r="C477" s="321"/>
      <c r="D477" s="322"/>
      <c r="E477" s="321"/>
    </row>
    <row r="478">
      <c r="A478" s="321"/>
      <c r="B478" s="321"/>
      <c r="C478" s="321"/>
      <c r="D478" s="322"/>
      <c r="E478" s="321"/>
    </row>
    <row r="479">
      <c r="A479" s="321"/>
      <c r="B479" s="321"/>
      <c r="C479" s="321"/>
      <c r="D479" s="322"/>
      <c r="E479" s="321"/>
    </row>
    <row r="480">
      <c r="A480" s="321"/>
      <c r="B480" s="321"/>
      <c r="C480" s="321"/>
      <c r="D480" s="322"/>
      <c r="E480" s="321"/>
    </row>
    <row r="481">
      <c r="A481" s="321"/>
      <c r="B481" s="321"/>
      <c r="C481" s="321"/>
      <c r="D481" s="322"/>
      <c r="E481" s="321"/>
    </row>
    <row r="482">
      <c r="A482" s="321"/>
      <c r="B482" s="321"/>
      <c r="C482" s="321"/>
      <c r="D482" s="322"/>
      <c r="E482" s="321"/>
    </row>
    <row r="483">
      <c r="A483" s="321"/>
      <c r="B483" s="321"/>
      <c r="C483" s="321"/>
      <c r="D483" s="322"/>
      <c r="E483" s="321"/>
    </row>
    <row r="484">
      <c r="A484" s="321"/>
      <c r="B484" s="321"/>
      <c r="C484" s="321"/>
      <c r="D484" s="322"/>
      <c r="E484" s="321"/>
    </row>
    <row r="485">
      <c r="A485" s="321"/>
      <c r="B485" s="321"/>
      <c r="C485" s="321"/>
      <c r="D485" s="322"/>
      <c r="E485" s="321"/>
    </row>
    <row r="486">
      <c r="A486" s="321"/>
      <c r="B486" s="321"/>
      <c r="C486" s="321"/>
      <c r="D486" s="322"/>
      <c r="E486" s="321"/>
    </row>
    <row r="487">
      <c r="A487" s="321"/>
      <c r="B487" s="321"/>
      <c r="C487" s="321"/>
      <c r="D487" s="322"/>
      <c r="E487" s="321"/>
    </row>
    <row r="488">
      <c r="A488" s="321"/>
      <c r="B488" s="321"/>
      <c r="C488" s="321"/>
      <c r="D488" s="322"/>
      <c r="E488" s="321"/>
    </row>
    <row r="489">
      <c r="A489" s="321"/>
      <c r="B489" s="321"/>
      <c r="C489" s="321"/>
      <c r="D489" s="322"/>
      <c r="E489" s="321"/>
    </row>
    <row r="490">
      <c r="A490" s="321"/>
      <c r="B490" s="321"/>
      <c r="C490" s="321"/>
      <c r="D490" s="322"/>
      <c r="E490" s="321"/>
    </row>
    <row r="491">
      <c r="A491" s="321"/>
      <c r="B491" s="321"/>
      <c r="C491" s="321"/>
      <c r="D491" s="322"/>
      <c r="E491" s="321"/>
    </row>
    <row r="492">
      <c r="A492" s="321"/>
      <c r="B492" s="321"/>
      <c r="C492" s="321"/>
      <c r="D492" s="322"/>
      <c r="E492" s="321"/>
    </row>
    <row r="493">
      <c r="A493" s="321"/>
      <c r="B493" s="321"/>
      <c r="C493" s="321"/>
      <c r="D493" s="322"/>
      <c r="E493" s="321"/>
    </row>
    <row r="494">
      <c r="A494" s="321"/>
      <c r="B494" s="321"/>
      <c r="C494" s="321"/>
      <c r="D494" s="322"/>
      <c r="E494" s="321"/>
    </row>
    <row r="495">
      <c r="A495" s="321"/>
      <c r="B495" s="321"/>
      <c r="C495" s="321"/>
      <c r="D495" s="322"/>
      <c r="E495" s="321"/>
    </row>
    <row r="496">
      <c r="A496" s="321"/>
      <c r="B496" s="321"/>
      <c r="C496" s="321"/>
      <c r="D496" s="322"/>
      <c r="E496" s="321"/>
    </row>
    <row r="497">
      <c r="A497" s="321"/>
      <c r="B497" s="321"/>
      <c r="C497" s="321"/>
      <c r="D497" s="322"/>
      <c r="E497" s="321"/>
    </row>
    <row r="498">
      <c r="A498" s="321"/>
      <c r="B498" s="321"/>
      <c r="C498" s="321"/>
      <c r="D498" s="322"/>
      <c r="E498" s="321"/>
    </row>
    <row r="499">
      <c r="A499" s="321"/>
      <c r="B499" s="321"/>
      <c r="C499" s="321"/>
      <c r="D499" s="322"/>
      <c r="E499" s="321"/>
    </row>
    <row r="500">
      <c r="A500" s="321"/>
      <c r="B500" s="321"/>
      <c r="C500" s="321"/>
      <c r="D500" s="322"/>
      <c r="E500" s="321"/>
    </row>
    <row r="501">
      <c r="A501" s="321"/>
      <c r="B501" s="321"/>
      <c r="C501" s="321"/>
      <c r="D501" s="322"/>
      <c r="E501" s="321"/>
    </row>
    <row r="502">
      <c r="A502" s="321"/>
      <c r="B502" s="321"/>
      <c r="C502" s="321"/>
      <c r="D502" s="322"/>
      <c r="E502" s="321"/>
    </row>
    <row r="503">
      <c r="A503" s="321"/>
      <c r="B503" s="321"/>
      <c r="C503" s="321"/>
      <c r="D503" s="322"/>
      <c r="E503" s="321"/>
    </row>
    <row r="504">
      <c r="A504" s="321"/>
      <c r="B504" s="321"/>
      <c r="C504" s="321"/>
      <c r="D504" s="322"/>
      <c r="E504" s="321"/>
    </row>
    <row r="505">
      <c r="A505" s="321"/>
      <c r="B505" s="321"/>
      <c r="C505" s="321"/>
      <c r="D505" s="322"/>
      <c r="E505" s="321"/>
    </row>
    <row r="506">
      <c r="A506" s="321"/>
      <c r="B506" s="321"/>
      <c r="C506" s="321"/>
      <c r="D506" s="322"/>
      <c r="E506" s="321"/>
    </row>
    <row r="507">
      <c r="A507" s="321"/>
      <c r="B507" s="321"/>
      <c r="C507" s="321"/>
      <c r="D507" s="322"/>
      <c r="E507" s="321"/>
    </row>
    <row r="508">
      <c r="A508" s="321"/>
      <c r="B508" s="321"/>
      <c r="C508" s="321"/>
      <c r="D508" s="322"/>
      <c r="E508" s="321"/>
    </row>
    <row r="509">
      <c r="A509" s="321"/>
      <c r="B509" s="321"/>
      <c r="C509" s="321"/>
      <c r="D509" s="322"/>
      <c r="E509" s="321"/>
    </row>
    <row r="510">
      <c r="A510" s="321"/>
      <c r="B510" s="321"/>
      <c r="C510" s="321"/>
      <c r="D510" s="322"/>
      <c r="E510" s="321"/>
    </row>
    <row r="511">
      <c r="A511" s="321"/>
      <c r="B511" s="321"/>
      <c r="C511" s="321"/>
      <c r="D511" s="322"/>
      <c r="E511" s="321"/>
    </row>
    <row r="512">
      <c r="A512" s="321"/>
      <c r="B512" s="321"/>
      <c r="C512" s="321"/>
      <c r="D512" s="322"/>
      <c r="E512" s="321"/>
    </row>
    <row r="513">
      <c r="A513" s="321"/>
      <c r="B513" s="321"/>
      <c r="C513" s="321"/>
      <c r="D513" s="322"/>
      <c r="E513" s="321"/>
    </row>
    <row r="514">
      <c r="A514" s="321"/>
      <c r="B514" s="321"/>
      <c r="C514" s="321"/>
      <c r="D514" s="322"/>
      <c r="E514" s="321"/>
    </row>
    <row r="515">
      <c r="A515" s="321"/>
      <c r="B515" s="321"/>
      <c r="C515" s="321"/>
      <c r="D515" s="322"/>
      <c r="E515" s="321"/>
    </row>
    <row r="516">
      <c r="A516" s="321"/>
      <c r="B516" s="321"/>
      <c r="C516" s="321"/>
      <c r="D516" s="322"/>
      <c r="E516" s="321"/>
    </row>
    <row r="517">
      <c r="A517" s="321"/>
      <c r="B517" s="321"/>
      <c r="C517" s="321"/>
      <c r="D517" s="322"/>
      <c r="E517" s="321"/>
    </row>
    <row r="518">
      <c r="A518" s="321"/>
      <c r="B518" s="321"/>
      <c r="C518" s="321"/>
      <c r="D518" s="322"/>
      <c r="E518" s="321"/>
    </row>
    <row r="519">
      <c r="A519" s="321"/>
      <c r="B519" s="321"/>
      <c r="C519" s="321"/>
      <c r="D519" s="322"/>
      <c r="E519" s="321"/>
    </row>
    <row r="520">
      <c r="A520" s="321"/>
      <c r="B520" s="321"/>
      <c r="C520" s="321"/>
      <c r="D520" s="322"/>
      <c r="E520" s="321"/>
    </row>
    <row r="521">
      <c r="A521" s="321"/>
      <c r="B521" s="321"/>
      <c r="C521" s="321"/>
      <c r="D521" s="322"/>
      <c r="E521" s="321"/>
    </row>
    <row r="522">
      <c r="A522" s="321"/>
      <c r="B522" s="321"/>
      <c r="C522" s="321"/>
      <c r="D522" s="322"/>
      <c r="E522" s="321"/>
    </row>
    <row r="523">
      <c r="A523" s="321"/>
      <c r="B523" s="321"/>
      <c r="C523" s="321"/>
      <c r="D523" s="322"/>
      <c r="E523" s="321"/>
    </row>
    <row r="524">
      <c r="A524" s="321"/>
      <c r="B524" s="321"/>
      <c r="C524" s="321"/>
      <c r="D524" s="322"/>
      <c r="E524" s="321"/>
    </row>
    <row r="525">
      <c r="A525" s="321"/>
      <c r="B525" s="321"/>
      <c r="C525" s="321"/>
      <c r="D525" s="322"/>
      <c r="E525" s="321"/>
    </row>
    <row r="526">
      <c r="A526" s="321"/>
      <c r="B526" s="321"/>
      <c r="C526" s="321"/>
      <c r="D526" s="322"/>
      <c r="E526" s="321"/>
    </row>
    <row r="527">
      <c r="A527" s="321"/>
      <c r="B527" s="321"/>
      <c r="C527" s="321"/>
      <c r="D527" s="322"/>
      <c r="E527" s="321"/>
    </row>
    <row r="528">
      <c r="A528" s="321"/>
      <c r="B528" s="321"/>
      <c r="C528" s="321"/>
      <c r="D528" s="322"/>
      <c r="E528" s="321"/>
    </row>
    <row r="529">
      <c r="A529" s="321"/>
      <c r="B529" s="321"/>
      <c r="C529" s="321"/>
      <c r="D529" s="322"/>
      <c r="E529" s="321"/>
    </row>
    <row r="530">
      <c r="A530" s="321"/>
      <c r="B530" s="321"/>
      <c r="C530" s="321"/>
      <c r="D530" s="322"/>
      <c r="E530" s="321"/>
    </row>
    <row r="531">
      <c r="A531" s="321"/>
      <c r="B531" s="321"/>
      <c r="C531" s="321"/>
      <c r="D531" s="322"/>
      <c r="E531" s="321"/>
    </row>
    <row r="532">
      <c r="A532" s="321"/>
      <c r="B532" s="321"/>
      <c r="C532" s="321"/>
      <c r="D532" s="322"/>
      <c r="E532" s="321"/>
    </row>
    <row r="533">
      <c r="A533" s="321"/>
      <c r="B533" s="321"/>
      <c r="C533" s="321"/>
      <c r="D533" s="322"/>
      <c r="E533" s="321"/>
    </row>
    <row r="534">
      <c r="A534" s="321"/>
      <c r="B534" s="321"/>
      <c r="C534" s="321"/>
      <c r="D534" s="322"/>
      <c r="E534" s="321"/>
    </row>
    <row r="535">
      <c r="A535" s="321"/>
      <c r="B535" s="321"/>
      <c r="C535" s="321"/>
      <c r="D535" s="322"/>
      <c r="E535" s="321"/>
    </row>
    <row r="536">
      <c r="A536" s="321"/>
      <c r="B536" s="321"/>
      <c r="C536" s="321"/>
      <c r="D536" s="322"/>
      <c r="E536" s="321"/>
    </row>
    <row r="537">
      <c r="A537" s="321"/>
      <c r="B537" s="321"/>
      <c r="C537" s="321"/>
      <c r="D537" s="322"/>
      <c r="E537" s="321"/>
    </row>
    <row r="538">
      <c r="A538" s="321"/>
      <c r="B538" s="321"/>
      <c r="C538" s="321"/>
      <c r="D538" s="322"/>
      <c r="E538" s="321"/>
    </row>
    <row r="539">
      <c r="A539" s="321"/>
      <c r="B539" s="321"/>
      <c r="C539" s="321"/>
      <c r="D539" s="322"/>
      <c r="E539" s="321"/>
    </row>
    <row r="540">
      <c r="A540" s="321"/>
      <c r="B540" s="321"/>
      <c r="C540" s="321"/>
      <c r="D540" s="322"/>
      <c r="E540" s="321"/>
    </row>
    <row r="541">
      <c r="A541" s="321"/>
      <c r="B541" s="321"/>
      <c r="C541" s="321"/>
      <c r="D541" s="322"/>
      <c r="E541" s="321"/>
    </row>
    <row r="542">
      <c r="A542" s="321"/>
      <c r="B542" s="321"/>
      <c r="C542" s="321"/>
      <c r="D542" s="322"/>
      <c r="E542" s="321"/>
    </row>
    <row r="543">
      <c r="A543" s="321"/>
      <c r="B543" s="321"/>
      <c r="C543" s="321"/>
      <c r="D543" s="322"/>
      <c r="E543" s="321"/>
    </row>
    <row r="544">
      <c r="A544" s="321"/>
      <c r="B544" s="321"/>
      <c r="C544" s="321"/>
      <c r="D544" s="322"/>
      <c r="E544" s="321"/>
    </row>
    <row r="545">
      <c r="A545" s="321"/>
      <c r="B545" s="321"/>
      <c r="C545" s="321"/>
      <c r="D545" s="322"/>
      <c r="E545" s="321"/>
    </row>
    <row r="546">
      <c r="A546" s="321"/>
      <c r="B546" s="321"/>
      <c r="C546" s="321"/>
      <c r="D546" s="322"/>
      <c r="E546" s="321"/>
    </row>
    <row r="547">
      <c r="A547" s="321"/>
      <c r="B547" s="321"/>
      <c r="C547" s="321"/>
      <c r="D547" s="322"/>
      <c r="E547" s="321"/>
    </row>
    <row r="548">
      <c r="A548" s="321"/>
      <c r="B548" s="321"/>
      <c r="C548" s="321"/>
      <c r="D548" s="322"/>
      <c r="E548" s="321"/>
    </row>
    <row r="549">
      <c r="A549" s="321"/>
      <c r="B549" s="321"/>
      <c r="C549" s="321"/>
      <c r="D549" s="322"/>
      <c r="E549" s="321"/>
    </row>
    <row r="550">
      <c r="A550" s="321"/>
      <c r="B550" s="321"/>
      <c r="C550" s="321"/>
      <c r="D550" s="322"/>
      <c r="E550" s="321"/>
    </row>
    <row r="551">
      <c r="A551" s="321"/>
      <c r="B551" s="321"/>
      <c r="C551" s="321"/>
      <c r="D551" s="322"/>
      <c r="E551" s="321"/>
    </row>
    <row r="552">
      <c r="A552" s="321"/>
      <c r="B552" s="321"/>
      <c r="C552" s="321"/>
      <c r="D552" s="322"/>
      <c r="E552" s="321"/>
    </row>
    <row r="553">
      <c r="A553" s="321"/>
      <c r="B553" s="321"/>
      <c r="C553" s="321"/>
      <c r="D553" s="322"/>
      <c r="E553" s="321"/>
    </row>
    <row r="554">
      <c r="A554" s="321"/>
      <c r="B554" s="321"/>
      <c r="C554" s="321"/>
      <c r="D554" s="322"/>
      <c r="E554" s="321"/>
    </row>
    <row r="555">
      <c r="A555" s="321"/>
      <c r="B555" s="321"/>
      <c r="C555" s="321"/>
      <c r="D555" s="322"/>
      <c r="E555" s="321"/>
    </row>
    <row r="556">
      <c r="A556" s="321"/>
      <c r="B556" s="321"/>
      <c r="C556" s="321"/>
      <c r="D556" s="322"/>
      <c r="E556" s="321"/>
    </row>
    <row r="557">
      <c r="A557" s="321"/>
      <c r="B557" s="321"/>
      <c r="C557" s="321"/>
      <c r="D557" s="322"/>
      <c r="E557" s="321"/>
    </row>
    <row r="558">
      <c r="A558" s="321"/>
      <c r="B558" s="321"/>
      <c r="C558" s="321"/>
      <c r="D558" s="322"/>
      <c r="E558" s="321"/>
    </row>
    <row r="559">
      <c r="A559" s="321"/>
      <c r="B559" s="321"/>
      <c r="C559" s="321"/>
      <c r="D559" s="322"/>
      <c r="E559" s="321"/>
    </row>
    <row r="560">
      <c r="A560" s="321"/>
      <c r="B560" s="321"/>
      <c r="C560" s="321"/>
      <c r="D560" s="322"/>
      <c r="E560" s="321"/>
    </row>
    <row r="561">
      <c r="A561" s="321"/>
      <c r="B561" s="321"/>
      <c r="C561" s="321"/>
      <c r="D561" s="322"/>
      <c r="E561" s="321"/>
    </row>
    <row r="562">
      <c r="A562" s="321"/>
      <c r="B562" s="321"/>
      <c r="C562" s="321"/>
      <c r="D562" s="322"/>
      <c r="E562" s="321"/>
    </row>
    <row r="563">
      <c r="A563" s="321"/>
      <c r="B563" s="321"/>
      <c r="C563" s="321"/>
      <c r="D563" s="322"/>
      <c r="E563" s="321"/>
    </row>
    <row r="564">
      <c r="A564" s="321"/>
      <c r="B564" s="321"/>
      <c r="C564" s="321"/>
      <c r="D564" s="322"/>
      <c r="E564" s="321"/>
    </row>
    <row r="565">
      <c r="A565" s="321"/>
      <c r="B565" s="321"/>
      <c r="C565" s="321"/>
      <c r="D565" s="322"/>
      <c r="E565" s="321"/>
    </row>
    <row r="566">
      <c r="A566" s="321"/>
      <c r="B566" s="321"/>
      <c r="C566" s="321"/>
      <c r="D566" s="322"/>
      <c r="E566" s="321"/>
    </row>
    <row r="567">
      <c r="A567" s="321"/>
      <c r="B567" s="321"/>
      <c r="C567" s="321"/>
      <c r="D567" s="322"/>
      <c r="E567" s="321"/>
    </row>
    <row r="568">
      <c r="A568" s="321"/>
      <c r="B568" s="321"/>
      <c r="C568" s="321"/>
      <c r="D568" s="322"/>
      <c r="E568" s="321"/>
    </row>
    <row r="569">
      <c r="A569" s="321"/>
      <c r="B569" s="321"/>
      <c r="C569" s="321"/>
      <c r="D569" s="322"/>
      <c r="E569" s="321"/>
    </row>
    <row r="570">
      <c r="A570" s="321"/>
      <c r="B570" s="321"/>
      <c r="C570" s="321"/>
      <c r="D570" s="322"/>
      <c r="E570" s="321"/>
    </row>
    <row r="571">
      <c r="A571" s="321"/>
      <c r="B571" s="321"/>
      <c r="C571" s="321"/>
      <c r="D571" s="322"/>
      <c r="E571" s="321"/>
    </row>
    <row r="572">
      <c r="A572" s="321"/>
      <c r="B572" s="321"/>
      <c r="C572" s="321"/>
      <c r="D572" s="322"/>
      <c r="E572" s="321"/>
    </row>
    <row r="573">
      <c r="A573" s="321"/>
      <c r="B573" s="321"/>
      <c r="C573" s="321"/>
      <c r="D573" s="322"/>
      <c r="E573" s="321"/>
    </row>
    <row r="574">
      <c r="A574" s="321"/>
      <c r="B574" s="321"/>
      <c r="C574" s="321"/>
      <c r="D574" s="322"/>
      <c r="E574" s="321"/>
    </row>
    <row r="575">
      <c r="A575" s="321"/>
      <c r="B575" s="321"/>
      <c r="C575" s="321"/>
      <c r="D575" s="322"/>
      <c r="E575" s="321"/>
    </row>
    <row r="576">
      <c r="A576" s="321"/>
      <c r="B576" s="321"/>
      <c r="C576" s="321"/>
      <c r="D576" s="322"/>
      <c r="E576" s="321"/>
    </row>
    <row r="577">
      <c r="A577" s="321"/>
      <c r="B577" s="321"/>
      <c r="C577" s="321"/>
      <c r="D577" s="322"/>
      <c r="E577" s="321"/>
    </row>
    <row r="578">
      <c r="A578" s="321"/>
      <c r="B578" s="321"/>
      <c r="C578" s="321"/>
      <c r="D578" s="322"/>
      <c r="E578" s="321"/>
    </row>
    <row r="579">
      <c r="A579" s="321"/>
      <c r="B579" s="321"/>
      <c r="C579" s="321"/>
      <c r="D579" s="322"/>
      <c r="E579" s="321"/>
    </row>
    <row r="580">
      <c r="A580" s="321"/>
      <c r="B580" s="321"/>
      <c r="C580" s="321"/>
      <c r="D580" s="322"/>
      <c r="E580" s="321"/>
    </row>
    <row r="581">
      <c r="A581" s="321"/>
      <c r="B581" s="321"/>
      <c r="C581" s="321"/>
      <c r="D581" s="322"/>
      <c r="E581" s="321"/>
    </row>
    <row r="582">
      <c r="A582" s="321"/>
      <c r="B582" s="321"/>
      <c r="C582" s="321"/>
      <c r="D582" s="322"/>
      <c r="E582" s="321"/>
    </row>
    <row r="583">
      <c r="A583" s="321"/>
      <c r="B583" s="321"/>
      <c r="C583" s="321"/>
      <c r="D583" s="322"/>
      <c r="E583" s="321"/>
    </row>
    <row r="584">
      <c r="A584" s="321"/>
      <c r="B584" s="321"/>
      <c r="C584" s="321"/>
      <c r="D584" s="322"/>
      <c r="E584" s="321"/>
    </row>
    <row r="585">
      <c r="A585" s="321"/>
      <c r="B585" s="321"/>
      <c r="C585" s="321"/>
      <c r="D585" s="322"/>
      <c r="E585" s="321"/>
    </row>
    <row r="586">
      <c r="A586" s="321"/>
      <c r="B586" s="321"/>
      <c r="C586" s="321"/>
      <c r="D586" s="322"/>
      <c r="E586" s="321"/>
    </row>
    <row r="587">
      <c r="A587" s="321"/>
      <c r="B587" s="321"/>
      <c r="C587" s="321"/>
      <c r="D587" s="322"/>
      <c r="E587" s="321"/>
    </row>
    <row r="588">
      <c r="A588" s="321"/>
      <c r="B588" s="321"/>
      <c r="C588" s="321"/>
      <c r="D588" s="322"/>
      <c r="E588" s="321"/>
    </row>
    <row r="589">
      <c r="A589" s="321"/>
      <c r="B589" s="321"/>
      <c r="C589" s="321"/>
      <c r="D589" s="322"/>
      <c r="E589" s="321"/>
    </row>
    <row r="590">
      <c r="A590" s="321"/>
      <c r="B590" s="321"/>
      <c r="C590" s="321"/>
      <c r="D590" s="322"/>
      <c r="E590" s="321"/>
    </row>
    <row r="591">
      <c r="A591" s="321"/>
      <c r="B591" s="321"/>
      <c r="C591" s="321"/>
      <c r="D591" s="322"/>
      <c r="E591" s="321"/>
    </row>
    <row r="592">
      <c r="A592" s="321"/>
      <c r="B592" s="321"/>
      <c r="C592" s="321"/>
      <c r="D592" s="322"/>
      <c r="E592" s="321"/>
    </row>
    <row r="593">
      <c r="A593" s="321"/>
      <c r="B593" s="321"/>
      <c r="C593" s="321"/>
      <c r="D593" s="322"/>
      <c r="E593" s="321"/>
    </row>
    <row r="594">
      <c r="A594" s="321"/>
      <c r="B594" s="321"/>
      <c r="C594" s="321"/>
      <c r="D594" s="322"/>
      <c r="E594" s="321"/>
    </row>
    <row r="595">
      <c r="A595" s="321"/>
      <c r="B595" s="321"/>
      <c r="C595" s="321"/>
      <c r="D595" s="322"/>
      <c r="E595" s="321"/>
    </row>
    <row r="596">
      <c r="A596" s="321"/>
      <c r="B596" s="321"/>
      <c r="C596" s="321"/>
      <c r="D596" s="322"/>
      <c r="E596" s="321"/>
    </row>
    <row r="597">
      <c r="A597" s="321"/>
      <c r="B597" s="321"/>
      <c r="C597" s="321"/>
      <c r="D597" s="322"/>
      <c r="E597" s="321"/>
    </row>
    <row r="598">
      <c r="A598" s="321"/>
      <c r="B598" s="321"/>
      <c r="C598" s="321"/>
      <c r="D598" s="322"/>
      <c r="E598" s="321"/>
    </row>
    <row r="599">
      <c r="A599" s="321"/>
      <c r="B599" s="321"/>
      <c r="C599" s="321"/>
      <c r="D599" s="322"/>
      <c r="E599" s="321"/>
    </row>
    <row r="600">
      <c r="A600" s="321"/>
      <c r="B600" s="321"/>
      <c r="C600" s="321"/>
      <c r="D600" s="322"/>
      <c r="E600" s="321"/>
    </row>
    <row r="601">
      <c r="A601" s="321"/>
      <c r="B601" s="321"/>
      <c r="C601" s="321"/>
      <c r="D601" s="322"/>
      <c r="E601" s="321"/>
    </row>
    <row r="602">
      <c r="A602" s="321"/>
      <c r="B602" s="321"/>
      <c r="C602" s="321"/>
      <c r="D602" s="322"/>
      <c r="E602" s="321"/>
    </row>
    <row r="603">
      <c r="A603" s="321"/>
      <c r="B603" s="321"/>
      <c r="C603" s="321"/>
      <c r="D603" s="322"/>
      <c r="E603" s="321"/>
    </row>
    <row r="604">
      <c r="A604" s="321"/>
      <c r="B604" s="321"/>
      <c r="C604" s="321"/>
      <c r="D604" s="322"/>
      <c r="E604" s="321"/>
    </row>
    <row r="605">
      <c r="A605" s="321"/>
      <c r="B605" s="321"/>
      <c r="C605" s="321"/>
      <c r="D605" s="322"/>
      <c r="E605" s="321"/>
    </row>
    <row r="606">
      <c r="A606" s="321"/>
      <c r="B606" s="321"/>
      <c r="C606" s="321"/>
      <c r="D606" s="322"/>
      <c r="E606" s="321"/>
    </row>
    <row r="607">
      <c r="A607" s="321"/>
      <c r="B607" s="321"/>
      <c r="C607" s="321"/>
      <c r="D607" s="322"/>
      <c r="E607" s="321"/>
    </row>
    <row r="608">
      <c r="A608" s="321"/>
      <c r="B608" s="321"/>
      <c r="C608" s="321"/>
      <c r="D608" s="322"/>
      <c r="E608" s="321"/>
    </row>
    <row r="609">
      <c r="A609" s="321"/>
      <c r="B609" s="321"/>
      <c r="C609" s="321"/>
      <c r="D609" s="322"/>
      <c r="E609" s="321"/>
    </row>
    <row r="610">
      <c r="A610" s="321"/>
      <c r="B610" s="321"/>
      <c r="C610" s="321"/>
      <c r="D610" s="322"/>
      <c r="E610" s="321"/>
    </row>
    <row r="611">
      <c r="A611" s="321"/>
      <c r="B611" s="321"/>
      <c r="C611" s="321"/>
      <c r="D611" s="322"/>
      <c r="E611" s="321"/>
    </row>
    <row r="612">
      <c r="A612" s="321"/>
      <c r="B612" s="321"/>
      <c r="C612" s="321"/>
      <c r="D612" s="322"/>
      <c r="E612" s="321"/>
    </row>
    <row r="613">
      <c r="A613" s="321"/>
      <c r="B613" s="321"/>
      <c r="C613" s="321"/>
      <c r="D613" s="322"/>
      <c r="E613" s="321"/>
    </row>
    <row r="614">
      <c r="A614" s="321"/>
      <c r="B614" s="321"/>
      <c r="C614" s="321"/>
      <c r="D614" s="322"/>
      <c r="E614" s="321"/>
    </row>
    <row r="615">
      <c r="A615" s="321"/>
      <c r="B615" s="321"/>
      <c r="C615" s="321"/>
      <c r="D615" s="322"/>
      <c r="E615" s="321"/>
    </row>
    <row r="616">
      <c r="A616" s="321"/>
      <c r="B616" s="321"/>
      <c r="C616" s="321"/>
      <c r="D616" s="322"/>
      <c r="E616" s="321"/>
    </row>
    <row r="617">
      <c r="A617" s="321"/>
      <c r="B617" s="321"/>
      <c r="C617" s="321"/>
      <c r="D617" s="322"/>
      <c r="E617" s="321"/>
    </row>
    <row r="618">
      <c r="A618" s="321"/>
      <c r="B618" s="321"/>
      <c r="C618" s="321"/>
      <c r="D618" s="322"/>
      <c r="E618" s="321"/>
    </row>
    <row r="619">
      <c r="A619" s="321"/>
      <c r="B619" s="321"/>
      <c r="C619" s="321"/>
      <c r="D619" s="322"/>
      <c r="E619" s="321"/>
    </row>
    <row r="620">
      <c r="A620" s="321"/>
      <c r="B620" s="321"/>
      <c r="C620" s="321"/>
      <c r="D620" s="322"/>
      <c r="E620" s="321"/>
    </row>
    <row r="621">
      <c r="A621" s="321"/>
      <c r="B621" s="321"/>
      <c r="C621" s="321"/>
      <c r="D621" s="322"/>
      <c r="E621" s="321"/>
    </row>
    <row r="622">
      <c r="A622" s="321"/>
      <c r="B622" s="321"/>
      <c r="C622" s="321"/>
      <c r="D622" s="322"/>
      <c r="E622" s="321"/>
    </row>
    <row r="623">
      <c r="A623" s="321"/>
      <c r="B623" s="321"/>
      <c r="C623" s="321"/>
      <c r="D623" s="322"/>
      <c r="E623" s="321"/>
    </row>
    <row r="624">
      <c r="A624" s="321"/>
      <c r="B624" s="321"/>
      <c r="C624" s="321"/>
      <c r="D624" s="322"/>
      <c r="E624" s="321"/>
    </row>
    <row r="625">
      <c r="A625" s="321"/>
      <c r="B625" s="321"/>
      <c r="C625" s="321"/>
      <c r="D625" s="322"/>
      <c r="E625" s="321"/>
    </row>
    <row r="626">
      <c r="A626" s="321"/>
      <c r="B626" s="321"/>
      <c r="C626" s="321"/>
      <c r="D626" s="322"/>
      <c r="E626" s="321"/>
    </row>
    <row r="627">
      <c r="A627" s="321"/>
      <c r="B627" s="321"/>
      <c r="C627" s="321"/>
      <c r="D627" s="322"/>
      <c r="E627" s="321"/>
    </row>
    <row r="628">
      <c r="A628" s="321"/>
      <c r="B628" s="321"/>
      <c r="C628" s="321"/>
      <c r="D628" s="322"/>
      <c r="E628" s="321"/>
    </row>
    <row r="629">
      <c r="A629" s="321"/>
      <c r="B629" s="321"/>
      <c r="C629" s="321"/>
      <c r="D629" s="322"/>
      <c r="E629" s="321"/>
    </row>
    <row r="630">
      <c r="A630" s="321"/>
      <c r="B630" s="321"/>
      <c r="C630" s="321"/>
      <c r="D630" s="322"/>
      <c r="E630" s="321"/>
    </row>
    <row r="631">
      <c r="A631" s="321"/>
      <c r="B631" s="321"/>
      <c r="C631" s="321"/>
      <c r="D631" s="322"/>
      <c r="E631" s="321"/>
    </row>
    <row r="632">
      <c r="A632" s="321"/>
      <c r="B632" s="321"/>
      <c r="C632" s="321"/>
      <c r="D632" s="322"/>
      <c r="E632" s="321"/>
    </row>
    <row r="633">
      <c r="A633" s="321"/>
      <c r="B633" s="321"/>
      <c r="C633" s="321"/>
      <c r="D633" s="322"/>
      <c r="E633" s="321"/>
    </row>
    <row r="634">
      <c r="A634" s="321"/>
      <c r="B634" s="321"/>
      <c r="C634" s="321"/>
      <c r="D634" s="322"/>
      <c r="E634" s="321"/>
    </row>
    <row r="635">
      <c r="A635" s="321"/>
      <c r="B635" s="321"/>
      <c r="C635" s="321"/>
      <c r="D635" s="322"/>
      <c r="E635" s="321"/>
    </row>
    <row r="636">
      <c r="A636" s="321"/>
      <c r="B636" s="321"/>
      <c r="C636" s="321"/>
      <c r="D636" s="322"/>
      <c r="E636" s="321"/>
    </row>
    <row r="637">
      <c r="A637" s="321"/>
      <c r="B637" s="321"/>
      <c r="C637" s="321"/>
      <c r="D637" s="322"/>
      <c r="E637" s="321"/>
    </row>
    <row r="638">
      <c r="A638" s="321"/>
      <c r="B638" s="321"/>
      <c r="C638" s="321"/>
      <c r="D638" s="322"/>
      <c r="E638" s="321"/>
    </row>
    <row r="639">
      <c r="A639" s="321"/>
      <c r="B639" s="321"/>
      <c r="C639" s="321"/>
      <c r="D639" s="322"/>
      <c r="E639" s="321"/>
    </row>
    <row r="640">
      <c r="A640" s="321"/>
      <c r="B640" s="321"/>
      <c r="C640" s="321"/>
      <c r="D640" s="322"/>
      <c r="E640" s="321"/>
    </row>
    <row r="641">
      <c r="A641" s="321"/>
      <c r="B641" s="321"/>
      <c r="C641" s="321"/>
      <c r="D641" s="322"/>
      <c r="E641" s="321"/>
    </row>
    <row r="642">
      <c r="A642" s="321"/>
      <c r="B642" s="321"/>
      <c r="C642" s="321"/>
      <c r="D642" s="322"/>
      <c r="E642" s="321"/>
    </row>
    <row r="643">
      <c r="A643" s="321"/>
      <c r="B643" s="321"/>
      <c r="C643" s="321"/>
      <c r="D643" s="322"/>
      <c r="E643" s="321"/>
    </row>
    <row r="644">
      <c r="A644" s="321"/>
      <c r="B644" s="321"/>
      <c r="C644" s="321"/>
      <c r="D644" s="322"/>
      <c r="E644" s="321"/>
    </row>
    <row r="645">
      <c r="A645" s="321"/>
      <c r="B645" s="321"/>
      <c r="C645" s="321"/>
      <c r="D645" s="322"/>
      <c r="E645" s="321"/>
    </row>
    <row r="646">
      <c r="A646" s="321"/>
      <c r="B646" s="321"/>
      <c r="C646" s="321"/>
      <c r="D646" s="322"/>
      <c r="E646" s="321"/>
    </row>
    <row r="647">
      <c r="A647" s="321"/>
      <c r="B647" s="321"/>
      <c r="C647" s="321"/>
      <c r="D647" s="322"/>
      <c r="E647" s="321"/>
    </row>
    <row r="648">
      <c r="A648" s="321"/>
      <c r="B648" s="321"/>
      <c r="C648" s="321"/>
      <c r="D648" s="322"/>
      <c r="E648" s="321"/>
    </row>
    <row r="649">
      <c r="A649" s="321"/>
      <c r="B649" s="321"/>
      <c r="C649" s="321"/>
      <c r="D649" s="322"/>
      <c r="E649" s="321"/>
    </row>
    <row r="650">
      <c r="A650" s="321"/>
      <c r="B650" s="321"/>
      <c r="C650" s="321"/>
      <c r="D650" s="322"/>
      <c r="E650" s="321"/>
    </row>
    <row r="651">
      <c r="A651" s="321"/>
      <c r="B651" s="321"/>
      <c r="C651" s="321"/>
      <c r="D651" s="322"/>
      <c r="E651" s="321"/>
    </row>
    <row r="652">
      <c r="A652" s="321"/>
      <c r="B652" s="321"/>
      <c r="C652" s="321"/>
      <c r="D652" s="322"/>
      <c r="E652" s="321"/>
    </row>
    <row r="653">
      <c r="A653" s="321"/>
      <c r="B653" s="321"/>
      <c r="C653" s="321"/>
      <c r="D653" s="322"/>
      <c r="E653" s="321"/>
    </row>
    <row r="654">
      <c r="A654" s="321"/>
      <c r="B654" s="321"/>
      <c r="C654" s="321"/>
      <c r="D654" s="322"/>
      <c r="E654" s="321"/>
    </row>
    <row r="655">
      <c r="A655" s="321"/>
      <c r="B655" s="321"/>
      <c r="C655" s="321"/>
      <c r="D655" s="322"/>
      <c r="E655" s="321"/>
    </row>
    <row r="656">
      <c r="A656" s="321"/>
      <c r="B656" s="321"/>
      <c r="C656" s="321"/>
      <c r="D656" s="322"/>
      <c r="E656" s="321"/>
    </row>
    <row r="657">
      <c r="A657" s="321"/>
      <c r="B657" s="321"/>
      <c r="C657" s="321"/>
      <c r="D657" s="322"/>
      <c r="E657" s="321"/>
    </row>
    <row r="658">
      <c r="A658" s="321"/>
      <c r="B658" s="321"/>
      <c r="C658" s="321"/>
      <c r="D658" s="322"/>
      <c r="E658" s="321"/>
    </row>
    <row r="659">
      <c r="A659" s="321"/>
      <c r="B659" s="321"/>
      <c r="C659" s="321"/>
      <c r="D659" s="322"/>
      <c r="E659" s="321"/>
    </row>
    <row r="660">
      <c r="A660" s="321"/>
      <c r="B660" s="321"/>
      <c r="C660" s="321"/>
      <c r="D660" s="322"/>
      <c r="E660" s="321"/>
    </row>
    <row r="661">
      <c r="A661" s="321"/>
      <c r="B661" s="321"/>
      <c r="C661" s="321"/>
      <c r="D661" s="322"/>
      <c r="E661" s="321"/>
    </row>
    <row r="662">
      <c r="A662" s="321"/>
      <c r="B662" s="321"/>
      <c r="C662" s="321"/>
      <c r="D662" s="322"/>
      <c r="E662" s="321"/>
    </row>
    <row r="663">
      <c r="A663" s="321"/>
      <c r="B663" s="321"/>
      <c r="C663" s="321"/>
      <c r="D663" s="322"/>
      <c r="E663" s="321"/>
    </row>
    <row r="664">
      <c r="A664" s="321"/>
      <c r="B664" s="321"/>
      <c r="C664" s="321"/>
      <c r="D664" s="322"/>
      <c r="E664" s="321"/>
    </row>
    <row r="665">
      <c r="A665" s="321"/>
      <c r="B665" s="321"/>
      <c r="C665" s="321"/>
      <c r="D665" s="322"/>
      <c r="E665" s="321"/>
    </row>
    <row r="666">
      <c r="A666" s="321"/>
      <c r="B666" s="321"/>
      <c r="C666" s="321"/>
      <c r="D666" s="322"/>
      <c r="E666" s="321"/>
    </row>
    <row r="667">
      <c r="A667" s="321"/>
      <c r="B667" s="321"/>
      <c r="C667" s="321"/>
      <c r="D667" s="322"/>
      <c r="E667" s="321"/>
    </row>
    <row r="668">
      <c r="A668" s="321"/>
      <c r="B668" s="321"/>
      <c r="C668" s="321"/>
      <c r="D668" s="322"/>
      <c r="E668" s="321"/>
    </row>
    <row r="669">
      <c r="A669" s="321"/>
      <c r="B669" s="321"/>
      <c r="C669" s="321"/>
      <c r="D669" s="322"/>
      <c r="E669" s="321"/>
    </row>
    <row r="670">
      <c r="A670" s="321"/>
      <c r="B670" s="321"/>
      <c r="C670" s="321"/>
      <c r="D670" s="322"/>
      <c r="E670" s="321"/>
    </row>
    <row r="671">
      <c r="A671" s="321"/>
      <c r="B671" s="321"/>
      <c r="C671" s="321"/>
      <c r="D671" s="322"/>
      <c r="E671" s="321"/>
    </row>
    <row r="672">
      <c r="A672" s="321"/>
      <c r="B672" s="321"/>
      <c r="C672" s="321"/>
      <c r="D672" s="322"/>
      <c r="E672" s="321"/>
    </row>
    <row r="673">
      <c r="A673" s="321"/>
      <c r="B673" s="321"/>
      <c r="C673" s="321"/>
      <c r="D673" s="322"/>
      <c r="E673" s="321"/>
    </row>
    <row r="674">
      <c r="A674" s="321"/>
      <c r="B674" s="321"/>
      <c r="C674" s="321"/>
      <c r="D674" s="322"/>
      <c r="E674" s="321"/>
    </row>
    <row r="675">
      <c r="A675" s="321"/>
      <c r="B675" s="321"/>
      <c r="C675" s="321"/>
      <c r="D675" s="322"/>
      <c r="E675" s="321"/>
    </row>
    <row r="676">
      <c r="A676" s="321"/>
      <c r="B676" s="321"/>
      <c r="C676" s="321"/>
      <c r="D676" s="322"/>
      <c r="E676" s="321"/>
    </row>
    <row r="677">
      <c r="A677" s="321"/>
      <c r="B677" s="321"/>
      <c r="C677" s="321"/>
      <c r="D677" s="322"/>
      <c r="E677" s="321"/>
    </row>
    <row r="678">
      <c r="A678" s="321"/>
      <c r="B678" s="321"/>
      <c r="C678" s="321"/>
      <c r="D678" s="322"/>
      <c r="E678" s="321"/>
    </row>
    <row r="679">
      <c r="A679" s="321"/>
      <c r="B679" s="321"/>
      <c r="C679" s="321"/>
      <c r="D679" s="322"/>
      <c r="E679" s="321"/>
    </row>
    <row r="680">
      <c r="A680" s="321"/>
      <c r="B680" s="321"/>
      <c r="C680" s="321"/>
      <c r="D680" s="322"/>
      <c r="E680" s="321"/>
    </row>
    <row r="681">
      <c r="A681" s="321"/>
      <c r="B681" s="321"/>
      <c r="C681" s="321"/>
      <c r="D681" s="322"/>
      <c r="E681" s="321"/>
    </row>
    <row r="682">
      <c r="A682" s="321"/>
      <c r="B682" s="321"/>
      <c r="C682" s="321"/>
      <c r="D682" s="322"/>
      <c r="E682" s="321"/>
    </row>
    <row r="683">
      <c r="A683" s="321"/>
      <c r="B683" s="321"/>
      <c r="C683" s="321"/>
      <c r="D683" s="322"/>
      <c r="E683" s="321"/>
    </row>
    <row r="684">
      <c r="A684" s="321"/>
      <c r="B684" s="321"/>
      <c r="C684" s="321"/>
      <c r="D684" s="322"/>
      <c r="E684" s="321"/>
    </row>
    <row r="685">
      <c r="A685" s="321"/>
      <c r="B685" s="321"/>
      <c r="C685" s="321"/>
      <c r="D685" s="322"/>
      <c r="E685" s="321"/>
    </row>
    <row r="686">
      <c r="A686" s="321"/>
      <c r="B686" s="321"/>
      <c r="C686" s="321"/>
      <c r="D686" s="322"/>
      <c r="E686" s="321"/>
    </row>
    <row r="687">
      <c r="A687" s="321"/>
      <c r="B687" s="321"/>
      <c r="C687" s="321"/>
      <c r="D687" s="322"/>
      <c r="E687" s="321"/>
    </row>
    <row r="688">
      <c r="A688" s="321"/>
      <c r="B688" s="321"/>
      <c r="C688" s="321"/>
      <c r="D688" s="322"/>
      <c r="E688" s="321"/>
    </row>
    <row r="689">
      <c r="A689" s="321"/>
      <c r="B689" s="321"/>
      <c r="C689" s="321"/>
      <c r="D689" s="322"/>
      <c r="E689" s="321"/>
    </row>
    <row r="690">
      <c r="A690" s="321"/>
      <c r="B690" s="321"/>
      <c r="C690" s="321"/>
      <c r="D690" s="322"/>
      <c r="E690" s="321"/>
    </row>
    <row r="691">
      <c r="A691" s="321"/>
      <c r="B691" s="321"/>
      <c r="C691" s="321"/>
      <c r="D691" s="322"/>
      <c r="E691" s="321"/>
    </row>
    <row r="692">
      <c r="A692" s="321"/>
      <c r="B692" s="321"/>
      <c r="C692" s="321"/>
      <c r="D692" s="322"/>
      <c r="E692" s="321"/>
    </row>
    <row r="693">
      <c r="A693" s="321"/>
      <c r="B693" s="321"/>
      <c r="C693" s="321"/>
      <c r="D693" s="322"/>
      <c r="E693" s="321"/>
    </row>
    <row r="694">
      <c r="A694" s="321"/>
      <c r="B694" s="321"/>
      <c r="C694" s="321"/>
      <c r="D694" s="322"/>
      <c r="E694" s="321"/>
    </row>
    <row r="695">
      <c r="A695" s="321"/>
      <c r="B695" s="321"/>
      <c r="C695" s="321"/>
      <c r="D695" s="322"/>
      <c r="E695" s="321"/>
    </row>
    <row r="696">
      <c r="A696" s="321"/>
      <c r="B696" s="321"/>
      <c r="C696" s="321"/>
      <c r="D696" s="322"/>
      <c r="E696" s="321"/>
    </row>
    <row r="697">
      <c r="A697" s="321"/>
      <c r="B697" s="321"/>
      <c r="C697" s="321"/>
      <c r="D697" s="322"/>
      <c r="E697" s="321"/>
    </row>
    <row r="698">
      <c r="A698" s="321"/>
      <c r="B698" s="321"/>
      <c r="C698" s="321"/>
      <c r="D698" s="322"/>
      <c r="E698" s="321"/>
    </row>
    <row r="699">
      <c r="A699" s="321"/>
      <c r="B699" s="321"/>
      <c r="C699" s="321"/>
      <c r="D699" s="322"/>
      <c r="E699" s="321"/>
    </row>
    <row r="700">
      <c r="A700" s="321"/>
      <c r="B700" s="321"/>
      <c r="C700" s="321"/>
      <c r="D700" s="322"/>
      <c r="E700" s="321"/>
    </row>
    <row r="701">
      <c r="A701" s="321"/>
      <c r="B701" s="321"/>
      <c r="C701" s="321"/>
      <c r="D701" s="322"/>
      <c r="E701" s="321"/>
    </row>
    <row r="702">
      <c r="A702" s="321"/>
      <c r="B702" s="321"/>
      <c r="C702" s="321"/>
      <c r="D702" s="322"/>
      <c r="E702" s="321"/>
    </row>
    <row r="703">
      <c r="A703" s="321"/>
      <c r="B703" s="321"/>
      <c r="C703" s="321"/>
      <c r="D703" s="322"/>
      <c r="E703" s="321"/>
    </row>
    <row r="704">
      <c r="A704" s="321"/>
      <c r="B704" s="321"/>
      <c r="C704" s="321"/>
      <c r="D704" s="322"/>
      <c r="E704" s="321"/>
    </row>
    <row r="705">
      <c r="A705" s="321"/>
      <c r="B705" s="321"/>
      <c r="C705" s="321"/>
      <c r="D705" s="322"/>
      <c r="E705" s="321"/>
    </row>
    <row r="706">
      <c r="A706" s="321"/>
      <c r="B706" s="321"/>
      <c r="C706" s="321"/>
      <c r="D706" s="322"/>
      <c r="E706" s="321"/>
    </row>
    <row r="707">
      <c r="A707" s="321"/>
      <c r="B707" s="321"/>
      <c r="C707" s="321"/>
      <c r="D707" s="322"/>
      <c r="E707" s="321"/>
    </row>
    <row r="708">
      <c r="A708" s="321"/>
      <c r="B708" s="321"/>
      <c r="C708" s="321"/>
      <c r="D708" s="322"/>
      <c r="E708" s="321"/>
    </row>
    <row r="709">
      <c r="A709" s="321"/>
      <c r="B709" s="321"/>
      <c r="C709" s="321"/>
      <c r="D709" s="322"/>
      <c r="E709" s="321"/>
    </row>
    <row r="710">
      <c r="A710" s="321"/>
      <c r="B710" s="321"/>
      <c r="C710" s="321"/>
      <c r="D710" s="322"/>
      <c r="E710" s="321"/>
    </row>
    <row r="711">
      <c r="A711" s="321"/>
      <c r="B711" s="321"/>
      <c r="C711" s="321"/>
      <c r="D711" s="322"/>
      <c r="E711" s="321"/>
    </row>
    <row r="712">
      <c r="A712" s="321"/>
      <c r="B712" s="321"/>
      <c r="C712" s="321"/>
      <c r="D712" s="322"/>
      <c r="E712" s="321"/>
    </row>
    <row r="713">
      <c r="A713" s="321"/>
      <c r="B713" s="321"/>
      <c r="C713" s="321"/>
      <c r="D713" s="322"/>
      <c r="E713" s="321"/>
    </row>
    <row r="714">
      <c r="A714" s="321"/>
      <c r="B714" s="321"/>
      <c r="C714" s="321"/>
      <c r="D714" s="322"/>
      <c r="E714" s="321"/>
    </row>
    <row r="715">
      <c r="A715" s="321"/>
      <c r="B715" s="321"/>
      <c r="C715" s="321"/>
      <c r="D715" s="322"/>
      <c r="E715" s="321"/>
    </row>
    <row r="716">
      <c r="A716" s="321"/>
      <c r="B716" s="321"/>
      <c r="C716" s="321"/>
      <c r="D716" s="322"/>
      <c r="E716" s="321"/>
    </row>
    <row r="717">
      <c r="A717" s="321"/>
      <c r="B717" s="321"/>
      <c r="C717" s="321"/>
      <c r="D717" s="322"/>
      <c r="E717" s="321"/>
    </row>
    <row r="718">
      <c r="A718" s="321"/>
      <c r="B718" s="321"/>
      <c r="C718" s="321"/>
      <c r="D718" s="322"/>
      <c r="E718" s="321"/>
    </row>
    <row r="719">
      <c r="A719" s="321"/>
      <c r="B719" s="321"/>
      <c r="C719" s="321"/>
      <c r="D719" s="322"/>
      <c r="E719" s="321"/>
    </row>
    <row r="720">
      <c r="A720" s="321"/>
      <c r="B720" s="321"/>
      <c r="C720" s="321"/>
      <c r="D720" s="322"/>
      <c r="E720" s="321"/>
    </row>
    <row r="721">
      <c r="A721" s="321"/>
      <c r="B721" s="321"/>
      <c r="C721" s="321"/>
      <c r="D721" s="322"/>
      <c r="E721" s="321"/>
    </row>
    <row r="722">
      <c r="A722" s="321"/>
      <c r="B722" s="321"/>
      <c r="C722" s="321"/>
      <c r="D722" s="322"/>
      <c r="E722" s="321"/>
    </row>
    <row r="723">
      <c r="A723" s="321"/>
      <c r="B723" s="321"/>
      <c r="C723" s="321"/>
      <c r="D723" s="322"/>
      <c r="E723" s="321"/>
    </row>
    <row r="724">
      <c r="A724" s="321"/>
      <c r="B724" s="321"/>
      <c r="C724" s="321"/>
      <c r="D724" s="322"/>
      <c r="E724" s="321"/>
    </row>
    <row r="725">
      <c r="A725" s="321"/>
      <c r="B725" s="321"/>
      <c r="C725" s="321"/>
      <c r="D725" s="322"/>
      <c r="E725" s="321"/>
    </row>
    <row r="726">
      <c r="A726" s="321"/>
      <c r="B726" s="321"/>
      <c r="C726" s="321"/>
      <c r="D726" s="322"/>
      <c r="E726" s="321"/>
    </row>
    <row r="727">
      <c r="A727" s="321"/>
      <c r="B727" s="321"/>
      <c r="C727" s="321"/>
      <c r="D727" s="322"/>
      <c r="E727" s="321"/>
    </row>
    <row r="728">
      <c r="A728" s="321"/>
      <c r="B728" s="321"/>
      <c r="C728" s="321"/>
      <c r="D728" s="322"/>
      <c r="E728" s="321"/>
    </row>
    <row r="729">
      <c r="A729" s="321"/>
      <c r="B729" s="321"/>
      <c r="C729" s="321"/>
      <c r="D729" s="322"/>
      <c r="E729" s="321"/>
    </row>
    <row r="730">
      <c r="A730" s="321"/>
      <c r="B730" s="321"/>
      <c r="C730" s="321"/>
      <c r="D730" s="322"/>
      <c r="E730" s="321"/>
    </row>
    <row r="731">
      <c r="A731" s="321"/>
      <c r="B731" s="321"/>
      <c r="C731" s="321"/>
      <c r="D731" s="322"/>
      <c r="E731" s="321"/>
    </row>
    <row r="732">
      <c r="A732" s="321"/>
      <c r="B732" s="321"/>
      <c r="C732" s="321"/>
      <c r="D732" s="322"/>
      <c r="E732" s="321"/>
    </row>
    <row r="733">
      <c r="A733" s="321"/>
      <c r="B733" s="321"/>
      <c r="C733" s="321"/>
      <c r="D733" s="322"/>
      <c r="E733" s="321"/>
    </row>
    <row r="734">
      <c r="A734" s="321"/>
      <c r="B734" s="321"/>
      <c r="C734" s="321"/>
      <c r="D734" s="322"/>
      <c r="E734" s="321"/>
    </row>
    <row r="735">
      <c r="A735" s="321"/>
      <c r="B735" s="321"/>
      <c r="C735" s="321"/>
      <c r="D735" s="322"/>
      <c r="E735" s="321"/>
    </row>
    <row r="736">
      <c r="A736" s="321"/>
      <c r="B736" s="321"/>
      <c r="C736" s="321"/>
      <c r="D736" s="322"/>
      <c r="E736" s="321"/>
    </row>
    <row r="737">
      <c r="A737" s="321"/>
      <c r="B737" s="321"/>
      <c r="C737" s="321"/>
      <c r="D737" s="322"/>
      <c r="E737" s="321"/>
    </row>
    <row r="738">
      <c r="A738" s="321"/>
      <c r="B738" s="321"/>
      <c r="C738" s="321"/>
      <c r="D738" s="322"/>
      <c r="E738" s="321"/>
    </row>
    <row r="739">
      <c r="A739" s="321"/>
      <c r="B739" s="321"/>
      <c r="C739" s="321"/>
      <c r="D739" s="322"/>
      <c r="E739" s="321"/>
    </row>
    <row r="740">
      <c r="A740" s="321"/>
      <c r="B740" s="321"/>
      <c r="C740" s="321"/>
      <c r="D740" s="322"/>
      <c r="E740" s="321"/>
    </row>
    <row r="741">
      <c r="A741" s="321"/>
      <c r="B741" s="321"/>
      <c r="C741" s="321"/>
      <c r="D741" s="322"/>
      <c r="E741" s="321"/>
    </row>
    <row r="742">
      <c r="A742" s="321"/>
      <c r="B742" s="321"/>
      <c r="C742" s="321"/>
      <c r="D742" s="322"/>
      <c r="E742" s="321"/>
    </row>
    <row r="743">
      <c r="A743" s="321"/>
      <c r="B743" s="321"/>
      <c r="C743" s="321"/>
      <c r="D743" s="322"/>
      <c r="E743" s="321"/>
    </row>
    <row r="744">
      <c r="A744" s="321"/>
      <c r="B744" s="321"/>
      <c r="C744" s="321"/>
      <c r="D744" s="322"/>
      <c r="E744" s="321"/>
    </row>
    <row r="745">
      <c r="A745" s="321"/>
      <c r="B745" s="321"/>
      <c r="C745" s="321"/>
      <c r="D745" s="322"/>
      <c r="E745" s="321"/>
    </row>
    <row r="746">
      <c r="A746" s="321"/>
      <c r="B746" s="321"/>
      <c r="C746" s="321"/>
      <c r="D746" s="322"/>
      <c r="E746" s="321"/>
    </row>
    <row r="747">
      <c r="A747" s="321"/>
      <c r="B747" s="321"/>
      <c r="C747" s="321"/>
      <c r="D747" s="322"/>
      <c r="E747" s="321"/>
    </row>
    <row r="748">
      <c r="A748" s="321"/>
      <c r="B748" s="321"/>
      <c r="C748" s="321"/>
      <c r="D748" s="322"/>
      <c r="E748" s="321"/>
    </row>
    <row r="749">
      <c r="A749" s="321"/>
      <c r="B749" s="321"/>
      <c r="C749" s="321"/>
      <c r="D749" s="322"/>
      <c r="E749" s="321"/>
    </row>
    <row r="750">
      <c r="A750" s="321"/>
      <c r="B750" s="321"/>
      <c r="C750" s="321"/>
      <c r="D750" s="322"/>
      <c r="E750" s="321"/>
    </row>
    <row r="751">
      <c r="A751" s="321"/>
      <c r="B751" s="321"/>
      <c r="C751" s="321"/>
      <c r="D751" s="322"/>
      <c r="E751" s="321"/>
    </row>
    <row r="752">
      <c r="A752" s="321"/>
      <c r="B752" s="321"/>
      <c r="C752" s="321"/>
      <c r="D752" s="322"/>
      <c r="E752" s="321"/>
    </row>
    <row r="753">
      <c r="A753" s="321"/>
      <c r="B753" s="321"/>
      <c r="C753" s="321"/>
      <c r="D753" s="322"/>
      <c r="E753" s="321"/>
    </row>
    <row r="754">
      <c r="A754" s="321"/>
      <c r="B754" s="321"/>
      <c r="C754" s="321"/>
      <c r="D754" s="322"/>
      <c r="E754" s="321"/>
    </row>
    <row r="755">
      <c r="A755" s="321"/>
      <c r="B755" s="321"/>
      <c r="C755" s="321"/>
      <c r="D755" s="322"/>
      <c r="E755" s="321"/>
    </row>
    <row r="756">
      <c r="A756" s="321"/>
      <c r="B756" s="321"/>
      <c r="C756" s="321"/>
      <c r="D756" s="322"/>
      <c r="E756" s="321"/>
    </row>
    <row r="757">
      <c r="A757" s="321"/>
      <c r="B757" s="321"/>
      <c r="C757" s="321"/>
      <c r="D757" s="322"/>
      <c r="E757" s="321"/>
    </row>
    <row r="758">
      <c r="A758" s="321"/>
      <c r="B758" s="321"/>
      <c r="C758" s="321"/>
      <c r="D758" s="322"/>
      <c r="E758" s="321"/>
    </row>
    <row r="759">
      <c r="A759" s="321"/>
      <c r="B759" s="321"/>
      <c r="C759" s="321"/>
      <c r="D759" s="322"/>
      <c r="E759" s="321"/>
    </row>
    <row r="760">
      <c r="A760" s="321"/>
      <c r="B760" s="321"/>
      <c r="C760" s="321"/>
      <c r="D760" s="322"/>
      <c r="E760" s="321"/>
    </row>
    <row r="761">
      <c r="A761" s="321"/>
      <c r="B761" s="321"/>
      <c r="C761" s="321"/>
      <c r="D761" s="322"/>
      <c r="E761" s="321"/>
    </row>
    <row r="762">
      <c r="A762" s="321"/>
      <c r="B762" s="321"/>
      <c r="C762" s="321"/>
      <c r="D762" s="322"/>
      <c r="E762" s="321"/>
    </row>
    <row r="763">
      <c r="A763" s="321"/>
      <c r="B763" s="321"/>
      <c r="C763" s="321"/>
      <c r="D763" s="322"/>
      <c r="E763" s="321"/>
    </row>
    <row r="764">
      <c r="A764" s="321"/>
      <c r="B764" s="321"/>
      <c r="C764" s="321"/>
      <c r="D764" s="322"/>
      <c r="E764" s="321"/>
    </row>
    <row r="765">
      <c r="A765" s="321"/>
      <c r="B765" s="321"/>
      <c r="C765" s="321"/>
      <c r="D765" s="322"/>
      <c r="E765" s="321"/>
    </row>
    <row r="766">
      <c r="A766" s="321"/>
      <c r="B766" s="321"/>
      <c r="C766" s="321"/>
      <c r="D766" s="322"/>
      <c r="E766" s="321"/>
    </row>
    <row r="767">
      <c r="A767" s="321"/>
      <c r="B767" s="321"/>
      <c r="C767" s="321"/>
      <c r="D767" s="322"/>
      <c r="E767" s="321"/>
    </row>
    <row r="768">
      <c r="A768" s="321"/>
      <c r="B768" s="321"/>
      <c r="C768" s="321"/>
      <c r="D768" s="322"/>
      <c r="E768" s="321"/>
    </row>
    <row r="769">
      <c r="A769" s="321"/>
      <c r="B769" s="321"/>
      <c r="C769" s="321"/>
      <c r="D769" s="322"/>
      <c r="E769" s="321"/>
    </row>
    <row r="770">
      <c r="A770" s="321"/>
      <c r="B770" s="321"/>
      <c r="C770" s="321"/>
      <c r="D770" s="322"/>
      <c r="E770" s="321"/>
    </row>
    <row r="771">
      <c r="A771" s="321"/>
      <c r="B771" s="321"/>
      <c r="C771" s="321"/>
      <c r="D771" s="322"/>
      <c r="E771" s="321"/>
    </row>
    <row r="772">
      <c r="A772" s="321"/>
      <c r="B772" s="321"/>
      <c r="C772" s="321"/>
      <c r="D772" s="322"/>
      <c r="E772" s="321"/>
    </row>
    <row r="773">
      <c r="A773" s="321"/>
      <c r="B773" s="321"/>
      <c r="C773" s="321"/>
      <c r="D773" s="322"/>
      <c r="E773" s="321"/>
    </row>
    <row r="774">
      <c r="A774" s="321"/>
      <c r="B774" s="321"/>
      <c r="C774" s="321"/>
      <c r="D774" s="322"/>
      <c r="E774" s="321"/>
    </row>
    <row r="775">
      <c r="A775" s="321"/>
      <c r="B775" s="321"/>
      <c r="C775" s="321"/>
      <c r="D775" s="322"/>
      <c r="E775" s="321"/>
    </row>
    <row r="776">
      <c r="A776" s="321"/>
      <c r="B776" s="321"/>
      <c r="C776" s="321"/>
      <c r="D776" s="322"/>
      <c r="E776" s="321"/>
    </row>
    <row r="777">
      <c r="A777" s="321"/>
      <c r="B777" s="321"/>
      <c r="C777" s="321"/>
      <c r="D777" s="322"/>
      <c r="E777" s="321"/>
    </row>
    <row r="778">
      <c r="A778" s="321"/>
      <c r="B778" s="321"/>
      <c r="C778" s="321"/>
      <c r="D778" s="322"/>
      <c r="E778" s="321"/>
    </row>
    <row r="779">
      <c r="A779" s="321"/>
      <c r="B779" s="321"/>
      <c r="C779" s="321"/>
      <c r="D779" s="322"/>
      <c r="E779" s="321"/>
    </row>
    <row r="780">
      <c r="A780" s="321"/>
      <c r="B780" s="321"/>
      <c r="C780" s="321"/>
      <c r="D780" s="322"/>
      <c r="E780" s="321"/>
    </row>
    <row r="781">
      <c r="A781" s="321"/>
      <c r="B781" s="321"/>
      <c r="C781" s="321"/>
      <c r="D781" s="322"/>
      <c r="E781" s="321"/>
    </row>
    <row r="782">
      <c r="A782" s="321"/>
      <c r="B782" s="321"/>
      <c r="C782" s="321"/>
      <c r="D782" s="322"/>
      <c r="E782" s="321"/>
    </row>
    <row r="783">
      <c r="A783" s="321"/>
      <c r="B783" s="321"/>
      <c r="C783" s="321"/>
      <c r="D783" s="322"/>
      <c r="E783" s="321"/>
    </row>
    <row r="784">
      <c r="A784" s="321"/>
      <c r="B784" s="321"/>
      <c r="C784" s="321"/>
      <c r="D784" s="322"/>
      <c r="E784" s="321"/>
    </row>
    <row r="785">
      <c r="A785" s="321"/>
      <c r="B785" s="321"/>
      <c r="C785" s="321"/>
      <c r="D785" s="322"/>
      <c r="E785" s="321"/>
    </row>
    <row r="786">
      <c r="A786" s="321"/>
      <c r="B786" s="321"/>
      <c r="C786" s="321"/>
      <c r="D786" s="322"/>
      <c r="E786" s="321"/>
    </row>
    <row r="787">
      <c r="A787" s="321"/>
      <c r="B787" s="321"/>
      <c r="C787" s="321"/>
      <c r="D787" s="322"/>
      <c r="E787" s="321"/>
    </row>
    <row r="788">
      <c r="A788" s="321"/>
      <c r="B788" s="321"/>
      <c r="C788" s="321"/>
      <c r="D788" s="322"/>
      <c r="E788" s="321"/>
    </row>
    <row r="789">
      <c r="A789" s="321"/>
      <c r="B789" s="321"/>
      <c r="C789" s="321"/>
      <c r="D789" s="322"/>
      <c r="E789" s="321"/>
    </row>
    <row r="790">
      <c r="A790" s="321"/>
      <c r="B790" s="321"/>
      <c r="C790" s="321"/>
      <c r="D790" s="322"/>
      <c r="E790" s="321"/>
    </row>
    <row r="791">
      <c r="A791" s="321"/>
      <c r="B791" s="321"/>
      <c r="C791" s="321"/>
      <c r="D791" s="322"/>
      <c r="E791" s="321"/>
    </row>
    <row r="792">
      <c r="A792" s="321"/>
      <c r="B792" s="321"/>
      <c r="C792" s="321"/>
      <c r="D792" s="322"/>
      <c r="E792" s="321"/>
    </row>
    <row r="793">
      <c r="A793" s="321"/>
      <c r="B793" s="321"/>
      <c r="C793" s="321"/>
      <c r="D793" s="322"/>
      <c r="E793" s="321"/>
    </row>
    <row r="794">
      <c r="A794" s="321"/>
      <c r="B794" s="321"/>
      <c r="C794" s="321"/>
      <c r="D794" s="322"/>
      <c r="E794" s="321"/>
    </row>
    <row r="795">
      <c r="A795" s="321"/>
      <c r="B795" s="321"/>
      <c r="C795" s="321"/>
      <c r="D795" s="322"/>
      <c r="E795" s="321"/>
    </row>
    <row r="796">
      <c r="A796" s="321"/>
      <c r="B796" s="321"/>
      <c r="C796" s="321"/>
      <c r="D796" s="322"/>
      <c r="E796" s="321"/>
    </row>
    <row r="797">
      <c r="A797" s="321"/>
      <c r="B797" s="321"/>
      <c r="C797" s="321"/>
      <c r="D797" s="322"/>
      <c r="E797" s="321"/>
    </row>
    <row r="798">
      <c r="A798" s="321"/>
      <c r="B798" s="321"/>
      <c r="C798" s="321"/>
      <c r="D798" s="322"/>
      <c r="E798" s="321"/>
    </row>
    <row r="799">
      <c r="A799" s="321"/>
      <c r="B799" s="321"/>
      <c r="C799" s="321"/>
      <c r="D799" s="322"/>
      <c r="E799" s="321"/>
    </row>
    <row r="800">
      <c r="A800" s="321"/>
      <c r="B800" s="321"/>
      <c r="C800" s="321"/>
      <c r="D800" s="322"/>
      <c r="E800" s="321"/>
    </row>
    <row r="801">
      <c r="A801" s="321"/>
      <c r="B801" s="321"/>
      <c r="C801" s="321"/>
      <c r="D801" s="322"/>
      <c r="E801" s="321"/>
    </row>
    <row r="802">
      <c r="A802" s="321"/>
      <c r="B802" s="321"/>
      <c r="C802" s="321"/>
      <c r="D802" s="322"/>
      <c r="E802" s="321"/>
    </row>
    <row r="803">
      <c r="A803" s="321"/>
      <c r="B803" s="321"/>
      <c r="C803" s="321"/>
      <c r="D803" s="322"/>
      <c r="E803" s="321"/>
    </row>
    <row r="804">
      <c r="A804" s="321"/>
      <c r="B804" s="321"/>
      <c r="C804" s="321"/>
      <c r="D804" s="322"/>
      <c r="E804" s="321"/>
    </row>
    <row r="805">
      <c r="A805" s="321"/>
      <c r="B805" s="321"/>
      <c r="C805" s="321"/>
      <c r="D805" s="322"/>
      <c r="E805" s="321"/>
    </row>
    <row r="806">
      <c r="A806" s="321"/>
      <c r="B806" s="321"/>
      <c r="C806" s="321"/>
      <c r="D806" s="322"/>
      <c r="E806" s="321"/>
    </row>
    <row r="807">
      <c r="A807" s="321"/>
      <c r="B807" s="321"/>
      <c r="C807" s="321"/>
      <c r="D807" s="322"/>
      <c r="E807" s="321"/>
    </row>
    <row r="808">
      <c r="A808" s="321"/>
      <c r="B808" s="321"/>
      <c r="C808" s="321"/>
      <c r="D808" s="322"/>
      <c r="E808" s="321"/>
    </row>
    <row r="809">
      <c r="A809" s="321"/>
      <c r="B809" s="321"/>
      <c r="C809" s="321"/>
      <c r="D809" s="322"/>
      <c r="E809" s="321"/>
    </row>
    <row r="810">
      <c r="A810" s="321"/>
      <c r="B810" s="321"/>
      <c r="C810" s="321"/>
      <c r="D810" s="322"/>
      <c r="E810" s="321"/>
    </row>
    <row r="811">
      <c r="A811" s="321"/>
      <c r="B811" s="321"/>
      <c r="C811" s="321"/>
      <c r="D811" s="322"/>
      <c r="E811" s="321"/>
    </row>
    <row r="812">
      <c r="A812" s="321"/>
      <c r="B812" s="321"/>
      <c r="C812" s="321"/>
      <c r="D812" s="322"/>
      <c r="E812" s="321"/>
    </row>
    <row r="813">
      <c r="A813" s="321"/>
      <c r="B813" s="321"/>
      <c r="C813" s="321"/>
      <c r="D813" s="322"/>
      <c r="E813" s="321"/>
    </row>
    <row r="814">
      <c r="A814" s="321"/>
      <c r="B814" s="321"/>
      <c r="C814" s="321"/>
      <c r="D814" s="322"/>
      <c r="E814" s="321"/>
    </row>
    <row r="815">
      <c r="A815" s="321"/>
      <c r="B815" s="321"/>
      <c r="C815" s="321"/>
      <c r="D815" s="322"/>
      <c r="E815" s="321"/>
    </row>
    <row r="816">
      <c r="A816" s="321"/>
      <c r="B816" s="321"/>
      <c r="C816" s="321"/>
      <c r="D816" s="322"/>
      <c r="E816" s="321"/>
    </row>
    <row r="817">
      <c r="A817" s="321"/>
      <c r="B817" s="321"/>
      <c r="C817" s="321"/>
      <c r="D817" s="322"/>
      <c r="E817" s="321"/>
    </row>
    <row r="818">
      <c r="A818" s="321"/>
      <c r="B818" s="321"/>
      <c r="C818" s="321"/>
      <c r="D818" s="322"/>
      <c r="E818" s="321"/>
    </row>
    <row r="819">
      <c r="A819" s="321"/>
      <c r="B819" s="321"/>
      <c r="C819" s="321"/>
      <c r="D819" s="322"/>
      <c r="E819" s="321"/>
    </row>
    <row r="820">
      <c r="A820" s="321"/>
      <c r="B820" s="321"/>
      <c r="C820" s="321"/>
      <c r="D820" s="322"/>
      <c r="E820" s="321"/>
    </row>
    <row r="821">
      <c r="A821" s="321"/>
      <c r="B821" s="321"/>
      <c r="C821" s="321"/>
      <c r="D821" s="322"/>
      <c r="E821" s="321"/>
    </row>
    <row r="822">
      <c r="A822" s="321"/>
      <c r="B822" s="321"/>
      <c r="C822" s="321"/>
      <c r="D822" s="322"/>
      <c r="E822" s="321"/>
    </row>
    <row r="823">
      <c r="A823" s="321"/>
      <c r="B823" s="321"/>
      <c r="C823" s="321"/>
      <c r="D823" s="322"/>
      <c r="E823" s="321"/>
    </row>
    <row r="824">
      <c r="A824" s="321"/>
      <c r="B824" s="321"/>
      <c r="C824" s="321"/>
      <c r="D824" s="322"/>
      <c r="E824" s="321"/>
    </row>
    <row r="825">
      <c r="A825" s="321"/>
      <c r="B825" s="321"/>
      <c r="C825" s="321"/>
      <c r="D825" s="322"/>
      <c r="E825" s="321"/>
    </row>
    <row r="826">
      <c r="A826" s="321"/>
      <c r="B826" s="321"/>
      <c r="C826" s="321"/>
      <c r="D826" s="322"/>
      <c r="E826" s="321"/>
    </row>
    <row r="827">
      <c r="A827" s="321"/>
      <c r="B827" s="321"/>
      <c r="C827" s="321"/>
      <c r="D827" s="322"/>
      <c r="E827" s="321"/>
    </row>
    <row r="828">
      <c r="A828" s="321"/>
      <c r="B828" s="321"/>
      <c r="C828" s="321"/>
      <c r="D828" s="322"/>
      <c r="E828" s="321"/>
    </row>
    <row r="829">
      <c r="A829" s="321"/>
      <c r="B829" s="321"/>
      <c r="C829" s="321"/>
      <c r="D829" s="322"/>
      <c r="E829" s="321"/>
    </row>
    <row r="830">
      <c r="A830" s="321"/>
      <c r="B830" s="321"/>
      <c r="C830" s="321"/>
      <c r="D830" s="322"/>
      <c r="E830" s="321"/>
    </row>
    <row r="831">
      <c r="A831" s="321"/>
      <c r="B831" s="321"/>
      <c r="C831" s="321"/>
      <c r="D831" s="322"/>
      <c r="E831" s="321"/>
    </row>
    <row r="832">
      <c r="A832" s="321"/>
      <c r="B832" s="321"/>
      <c r="C832" s="321"/>
      <c r="D832" s="322"/>
      <c r="E832" s="321"/>
    </row>
    <row r="833">
      <c r="A833" s="321"/>
      <c r="B833" s="321"/>
      <c r="C833" s="321"/>
      <c r="D833" s="322"/>
      <c r="E833" s="321"/>
    </row>
    <row r="834">
      <c r="A834" s="321"/>
      <c r="B834" s="321"/>
      <c r="C834" s="321"/>
      <c r="D834" s="322"/>
      <c r="E834" s="321"/>
    </row>
    <row r="835">
      <c r="A835" s="321"/>
      <c r="B835" s="321"/>
      <c r="C835" s="321"/>
      <c r="D835" s="322"/>
      <c r="E835" s="321"/>
    </row>
    <row r="836">
      <c r="A836" s="321"/>
      <c r="B836" s="321"/>
      <c r="C836" s="321"/>
      <c r="D836" s="322"/>
      <c r="E836" s="321"/>
    </row>
    <row r="837">
      <c r="A837" s="321"/>
      <c r="B837" s="321"/>
      <c r="C837" s="321"/>
      <c r="D837" s="322"/>
      <c r="E837" s="321"/>
    </row>
    <row r="838">
      <c r="A838" s="321"/>
      <c r="B838" s="321"/>
      <c r="C838" s="321"/>
      <c r="D838" s="322"/>
      <c r="E838" s="321"/>
    </row>
    <row r="839">
      <c r="A839" s="321"/>
      <c r="B839" s="321"/>
      <c r="C839" s="321"/>
      <c r="D839" s="322"/>
      <c r="E839" s="321"/>
    </row>
    <row r="840">
      <c r="A840" s="321"/>
      <c r="B840" s="321"/>
      <c r="C840" s="321"/>
      <c r="D840" s="322"/>
      <c r="E840" s="321"/>
    </row>
    <row r="841">
      <c r="A841" s="321"/>
      <c r="B841" s="321"/>
      <c r="C841" s="321"/>
      <c r="D841" s="322"/>
      <c r="E841" s="321"/>
    </row>
    <row r="842">
      <c r="A842" s="321"/>
      <c r="B842" s="321"/>
      <c r="C842" s="321"/>
      <c r="D842" s="322"/>
      <c r="E842" s="321"/>
    </row>
    <row r="843">
      <c r="A843" s="321"/>
      <c r="B843" s="321"/>
      <c r="C843" s="321"/>
      <c r="D843" s="322"/>
      <c r="E843" s="321"/>
    </row>
    <row r="844">
      <c r="A844" s="321"/>
      <c r="B844" s="321"/>
      <c r="C844" s="321"/>
      <c r="D844" s="322"/>
      <c r="E844" s="321"/>
    </row>
    <row r="845">
      <c r="A845" s="321"/>
      <c r="B845" s="321"/>
      <c r="C845" s="321"/>
      <c r="D845" s="322"/>
      <c r="E845" s="321"/>
    </row>
    <row r="846">
      <c r="A846" s="321"/>
      <c r="B846" s="321"/>
      <c r="C846" s="321"/>
      <c r="D846" s="322"/>
      <c r="E846" s="321"/>
    </row>
    <row r="847">
      <c r="A847" s="321"/>
      <c r="B847" s="321"/>
      <c r="C847" s="321"/>
      <c r="D847" s="322"/>
      <c r="E847" s="321"/>
    </row>
    <row r="848">
      <c r="A848" s="321"/>
      <c r="B848" s="321"/>
      <c r="C848" s="321"/>
      <c r="D848" s="322"/>
      <c r="E848" s="321"/>
    </row>
    <row r="849">
      <c r="A849" s="321"/>
      <c r="B849" s="321"/>
      <c r="C849" s="321"/>
      <c r="D849" s="322"/>
      <c r="E849" s="321"/>
    </row>
    <row r="850">
      <c r="A850" s="321"/>
      <c r="B850" s="321"/>
      <c r="C850" s="321"/>
      <c r="D850" s="322"/>
      <c r="E850" s="321"/>
    </row>
    <row r="851">
      <c r="A851" s="321"/>
      <c r="B851" s="321"/>
      <c r="C851" s="321"/>
      <c r="D851" s="322"/>
      <c r="E851" s="321"/>
    </row>
    <row r="852">
      <c r="A852" s="321"/>
      <c r="B852" s="321"/>
      <c r="C852" s="321"/>
      <c r="D852" s="322"/>
      <c r="E852" s="321"/>
    </row>
    <row r="853">
      <c r="A853" s="321"/>
      <c r="B853" s="321"/>
      <c r="C853" s="321"/>
      <c r="D853" s="322"/>
      <c r="E853" s="321"/>
    </row>
    <row r="854">
      <c r="A854" s="321"/>
      <c r="B854" s="321"/>
      <c r="C854" s="321"/>
      <c r="D854" s="322"/>
      <c r="E854" s="321"/>
    </row>
    <row r="855">
      <c r="A855" s="321"/>
      <c r="B855" s="321"/>
      <c r="C855" s="321"/>
      <c r="D855" s="322"/>
      <c r="E855" s="321"/>
    </row>
    <row r="856">
      <c r="A856" s="321"/>
      <c r="B856" s="321"/>
      <c r="C856" s="321"/>
      <c r="D856" s="322"/>
      <c r="E856" s="321"/>
    </row>
    <row r="857">
      <c r="A857" s="321"/>
      <c r="B857" s="321"/>
      <c r="C857" s="321"/>
      <c r="D857" s="322"/>
      <c r="E857" s="321"/>
    </row>
    <row r="858">
      <c r="A858" s="321"/>
      <c r="B858" s="321"/>
      <c r="C858" s="321"/>
      <c r="D858" s="322"/>
      <c r="E858" s="321"/>
    </row>
    <row r="859">
      <c r="A859" s="321"/>
      <c r="B859" s="321"/>
      <c r="C859" s="321"/>
      <c r="D859" s="322"/>
      <c r="E859" s="321"/>
    </row>
    <row r="860">
      <c r="A860" s="321"/>
      <c r="B860" s="321"/>
      <c r="C860" s="321"/>
      <c r="D860" s="322"/>
      <c r="E860" s="321"/>
    </row>
    <row r="861">
      <c r="A861" s="321"/>
      <c r="B861" s="321"/>
      <c r="C861" s="321"/>
      <c r="D861" s="322"/>
      <c r="E861" s="321"/>
    </row>
    <row r="862">
      <c r="A862" s="321"/>
      <c r="B862" s="321"/>
      <c r="C862" s="321"/>
      <c r="D862" s="322"/>
      <c r="E862" s="321"/>
    </row>
    <row r="863">
      <c r="A863" s="321"/>
      <c r="B863" s="321"/>
      <c r="C863" s="321"/>
      <c r="D863" s="322"/>
      <c r="E863" s="321"/>
    </row>
    <row r="864">
      <c r="A864" s="321"/>
      <c r="B864" s="321"/>
      <c r="C864" s="321"/>
      <c r="D864" s="322"/>
      <c r="E864" s="321"/>
    </row>
    <row r="865">
      <c r="A865" s="321"/>
      <c r="B865" s="321"/>
      <c r="C865" s="321"/>
      <c r="D865" s="322"/>
      <c r="E865" s="321"/>
    </row>
    <row r="866">
      <c r="A866" s="321"/>
      <c r="B866" s="321"/>
      <c r="C866" s="321"/>
      <c r="D866" s="322"/>
      <c r="E866" s="321"/>
    </row>
    <row r="867">
      <c r="A867" s="321"/>
      <c r="B867" s="321"/>
      <c r="C867" s="321"/>
      <c r="D867" s="322"/>
      <c r="E867" s="321"/>
    </row>
    <row r="868">
      <c r="A868" s="321"/>
      <c r="B868" s="321"/>
      <c r="C868" s="321"/>
      <c r="D868" s="322"/>
      <c r="E868" s="321"/>
    </row>
    <row r="869">
      <c r="A869" s="321"/>
      <c r="B869" s="321"/>
      <c r="C869" s="321"/>
      <c r="D869" s="322"/>
      <c r="E869" s="321"/>
    </row>
    <row r="870">
      <c r="A870" s="321"/>
      <c r="B870" s="321"/>
      <c r="C870" s="321"/>
      <c r="D870" s="322"/>
      <c r="E870" s="321"/>
    </row>
    <row r="871">
      <c r="A871" s="321"/>
      <c r="B871" s="321"/>
      <c r="C871" s="321"/>
      <c r="D871" s="322"/>
      <c r="E871" s="321"/>
    </row>
    <row r="872">
      <c r="A872" s="321"/>
      <c r="B872" s="321"/>
      <c r="C872" s="321"/>
      <c r="D872" s="322"/>
      <c r="E872" s="321"/>
    </row>
    <row r="873">
      <c r="A873" s="321"/>
      <c r="B873" s="321"/>
      <c r="C873" s="321"/>
      <c r="D873" s="322"/>
      <c r="E873" s="321"/>
    </row>
    <row r="874">
      <c r="A874" s="321"/>
      <c r="B874" s="321"/>
      <c r="C874" s="321"/>
      <c r="D874" s="322"/>
      <c r="E874" s="321"/>
    </row>
    <row r="875">
      <c r="A875" s="321"/>
      <c r="B875" s="321"/>
      <c r="C875" s="321"/>
      <c r="D875" s="322"/>
      <c r="E875" s="321"/>
    </row>
    <row r="876">
      <c r="A876" s="321"/>
      <c r="B876" s="321"/>
      <c r="C876" s="321"/>
      <c r="D876" s="322"/>
      <c r="E876" s="321"/>
    </row>
    <row r="877">
      <c r="A877" s="321"/>
      <c r="B877" s="321"/>
      <c r="C877" s="321"/>
      <c r="D877" s="322"/>
      <c r="E877" s="321"/>
    </row>
    <row r="878">
      <c r="A878" s="321"/>
      <c r="B878" s="321"/>
      <c r="C878" s="321"/>
      <c r="D878" s="322"/>
      <c r="E878" s="321"/>
    </row>
    <row r="879">
      <c r="A879" s="321"/>
      <c r="B879" s="321"/>
      <c r="C879" s="321"/>
      <c r="D879" s="322"/>
      <c r="E879" s="321"/>
    </row>
    <row r="880">
      <c r="A880" s="321"/>
      <c r="B880" s="321"/>
      <c r="C880" s="321"/>
      <c r="D880" s="322"/>
      <c r="E880" s="321"/>
    </row>
    <row r="881">
      <c r="A881" s="321"/>
      <c r="B881" s="321"/>
      <c r="C881" s="321"/>
      <c r="D881" s="322"/>
      <c r="E881" s="321"/>
    </row>
    <row r="882">
      <c r="A882" s="321"/>
      <c r="B882" s="321"/>
      <c r="C882" s="321"/>
      <c r="D882" s="322"/>
      <c r="E882" s="321"/>
    </row>
    <row r="883">
      <c r="A883" s="321"/>
      <c r="B883" s="321"/>
      <c r="C883" s="321"/>
      <c r="D883" s="322"/>
      <c r="E883" s="321"/>
    </row>
    <row r="884">
      <c r="A884" s="321"/>
      <c r="B884" s="321"/>
      <c r="C884" s="321"/>
      <c r="D884" s="322"/>
      <c r="E884" s="321"/>
    </row>
    <row r="885">
      <c r="A885" s="321"/>
      <c r="B885" s="321"/>
      <c r="C885" s="321"/>
      <c r="D885" s="322"/>
      <c r="E885" s="321"/>
    </row>
    <row r="886">
      <c r="A886" s="321"/>
      <c r="B886" s="321"/>
      <c r="C886" s="321"/>
      <c r="D886" s="322"/>
      <c r="E886" s="321"/>
    </row>
    <row r="887">
      <c r="A887" s="321"/>
      <c r="B887" s="321"/>
      <c r="C887" s="321"/>
      <c r="D887" s="322"/>
      <c r="E887" s="321"/>
    </row>
    <row r="888">
      <c r="A888" s="321"/>
      <c r="B888" s="321"/>
      <c r="C888" s="321"/>
      <c r="D888" s="322"/>
      <c r="E888" s="321"/>
    </row>
    <row r="889">
      <c r="A889" s="321"/>
      <c r="B889" s="321"/>
      <c r="C889" s="321"/>
      <c r="D889" s="322"/>
      <c r="E889" s="321"/>
    </row>
    <row r="890">
      <c r="A890" s="321"/>
      <c r="B890" s="321"/>
      <c r="C890" s="321"/>
      <c r="D890" s="322"/>
      <c r="E890" s="321"/>
    </row>
    <row r="891">
      <c r="A891" s="321"/>
      <c r="B891" s="321"/>
      <c r="C891" s="321"/>
      <c r="D891" s="322"/>
      <c r="E891" s="321"/>
    </row>
    <row r="892">
      <c r="A892" s="321"/>
      <c r="B892" s="321"/>
      <c r="C892" s="321"/>
      <c r="D892" s="322"/>
      <c r="E892" s="321"/>
    </row>
    <row r="893">
      <c r="A893" s="321"/>
      <c r="B893" s="321"/>
      <c r="C893" s="321"/>
      <c r="D893" s="322"/>
      <c r="E893" s="321"/>
    </row>
    <row r="894">
      <c r="A894" s="321"/>
      <c r="B894" s="321"/>
      <c r="C894" s="321"/>
      <c r="D894" s="322"/>
      <c r="E894" s="321"/>
    </row>
    <row r="895">
      <c r="A895" s="321"/>
      <c r="B895" s="321"/>
      <c r="C895" s="321"/>
      <c r="D895" s="322"/>
      <c r="E895" s="321"/>
    </row>
    <row r="896">
      <c r="A896" s="321"/>
      <c r="B896" s="321"/>
      <c r="C896" s="321"/>
      <c r="D896" s="322"/>
      <c r="E896" s="321"/>
    </row>
    <row r="897">
      <c r="A897" s="321"/>
      <c r="B897" s="321"/>
      <c r="C897" s="321"/>
      <c r="D897" s="322"/>
      <c r="E897" s="321"/>
    </row>
    <row r="898">
      <c r="A898" s="321"/>
      <c r="B898" s="321"/>
      <c r="C898" s="321"/>
      <c r="D898" s="322"/>
      <c r="E898" s="321"/>
    </row>
    <row r="899">
      <c r="A899" s="321"/>
      <c r="B899" s="321"/>
      <c r="C899" s="321"/>
      <c r="D899" s="322"/>
      <c r="E899" s="321"/>
    </row>
    <row r="900">
      <c r="A900" s="321"/>
      <c r="B900" s="321"/>
      <c r="C900" s="321"/>
      <c r="D900" s="322"/>
      <c r="E900" s="321"/>
    </row>
    <row r="901">
      <c r="A901" s="321"/>
      <c r="B901" s="321"/>
      <c r="C901" s="321"/>
      <c r="D901" s="322"/>
      <c r="E901" s="321"/>
    </row>
    <row r="902">
      <c r="A902" s="321"/>
      <c r="B902" s="321"/>
      <c r="C902" s="321"/>
      <c r="D902" s="322"/>
      <c r="E902" s="321"/>
    </row>
    <row r="903">
      <c r="A903" s="321"/>
      <c r="B903" s="321"/>
      <c r="C903" s="321"/>
      <c r="D903" s="322"/>
      <c r="E903" s="321"/>
    </row>
    <row r="904">
      <c r="A904" s="321"/>
      <c r="B904" s="321"/>
      <c r="C904" s="321"/>
      <c r="D904" s="322"/>
      <c r="E904" s="321"/>
    </row>
    <row r="905">
      <c r="A905" s="321"/>
      <c r="B905" s="321"/>
      <c r="C905" s="321"/>
      <c r="D905" s="322"/>
      <c r="E905" s="321"/>
    </row>
    <row r="906">
      <c r="A906" s="321"/>
      <c r="B906" s="321"/>
      <c r="C906" s="321"/>
      <c r="D906" s="322"/>
      <c r="E906" s="321"/>
    </row>
    <row r="907">
      <c r="A907" s="321"/>
      <c r="B907" s="321"/>
      <c r="C907" s="321"/>
      <c r="D907" s="322"/>
      <c r="E907" s="321"/>
    </row>
    <row r="908">
      <c r="A908" s="321"/>
      <c r="B908" s="321"/>
      <c r="C908" s="321"/>
      <c r="D908" s="322"/>
      <c r="E908" s="321"/>
    </row>
    <row r="909">
      <c r="A909" s="321"/>
      <c r="B909" s="321"/>
      <c r="C909" s="321"/>
      <c r="D909" s="322"/>
      <c r="E909" s="321"/>
    </row>
    <row r="910">
      <c r="A910" s="321"/>
      <c r="B910" s="321"/>
      <c r="C910" s="321"/>
      <c r="D910" s="322"/>
      <c r="E910" s="321"/>
    </row>
    <row r="911">
      <c r="A911" s="321"/>
      <c r="B911" s="321"/>
      <c r="C911" s="321"/>
      <c r="D911" s="322"/>
      <c r="E911" s="321"/>
    </row>
    <row r="912">
      <c r="A912" s="321"/>
      <c r="B912" s="321"/>
      <c r="C912" s="321"/>
      <c r="D912" s="322"/>
      <c r="E912" s="321"/>
    </row>
    <row r="913">
      <c r="A913" s="321"/>
      <c r="B913" s="321"/>
      <c r="C913" s="321"/>
      <c r="D913" s="322"/>
      <c r="E913" s="321"/>
    </row>
    <row r="914">
      <c r="A914" s="321"/>
      <c r="B914" s="321"/>
      <c r="C914" s="321"/>
      <c r="D914" s="322"/>
      <c r="E914" s="321"/>
    </row>
    <row r="915">
      <c r="A915" s="321"/>
      <c r="B915" s="321"/>
      <c r="C915" s="321"/>
      <c r="D915" s="322"/>
      <c r="E915" s="321"/>
    </row>
    <row r="916">
      <c r="A916" s="321"/>
      <c r="B916" s="321"/>
      <c r="C916" s="321"/>
      <c r="D916" s="322"/>
      <c r="E916" s="321"/>
    </row>
    <row r="917">
      <c r="A917" s="321"/>
      <c r="B917" s="321"/>
      <c r="C917" s="321"/>
      <c r="D917" s="322"/>
      <c r="E917" s="321"/>
    </row>
    <row r="918">
      <c r="A918" s="321"/>
      <c r="B918" s="321"/>
      <c r="C918" s="321"/>
      <c r="D918" s="322"/>
      <c r="E918" s="321"/>
    </row>
    <row r="919">
      <c r="A919" s="321"/>
      <c r="B919" s="321"/>
      <c r="C919" s="321"/>
      <c r="D919" s="322"/>
      <c r="E919" s="321"/>
    </row>
    <row r="920">
      <c r="A920" s="321"/>
      <c r="B920" s="321"/>
      <c r="C920" s="321"/>
      <c r="D920" s="322"/>
      <c r="E920" s="321"/>
    </row>
    <row r="921">
      <c r="A921" s="321"/>
      <c r="B921" s="321"/>
      <c r="C921" s="321"/>
      <c r="D921" s="322"/>
      <c r="E921" s="321"/>
    </row>
    <row r="922">
      <c r="A922" s="321"/>
      <c r="B922" s="321"/>
      <c r="C922" s="321"/>
      <c r="D922" s="322"/>
      <c r="E922" s="321"/>
    </row>
    <row r="923">
      <c r="A923" s="321"/>
      <c r="B923" s="321"/>
      <c r="C923" s="321"/>
      <c r="D923" s="322"/>
      <c r="E923" s="321"/>
    </row>
    <row r="924">
      <c r="A924" s="321"/>
      <c r="B924" s="321"/>
      <c r="C924" s="321"/>
      <c r="D924" s="322"/>
      <c r="E924" s="321"/>
    </row>
    <row r="925">
      <c r="A925" s="321"/>
      <c r="B925" s="321"/>
      <c r="C925" s="321"/>
      <c r="D925" s="322"/>
      <c r="E925" s="321"/>
    </row>
    <row r="926">
      <c r="A926" s="321"/>
      <c r="B926" s="321"/>
      <c r="C926" s="321"/>
      <c r="D926" s="322"/>
      <c r="E926" s="321"/>
    </row>
    <row r="927">
      <c r="A927" s="321"/>
      <c r="B927" s="321"/>
      <c r="C927" s="321"/>
      <c r="D927" s="322"/>
      <c r="E927" s="321"/>
    </row>
    <row r="928">
      <c r="A928" s="321"/>
      <c r="B928" s="321"/>
      <c r="C928" s="321"/>
      <c r="D928" s="322"/>
      <c r="E928" s="321"/>
    </row>
    <row r="929">
      <c r="A929" s="321"/>
      <c r="B929" s="321"/>
      <c r="C929" s="321"/>
      <c r="D929" s="322"/>
      <c r="E929" s="321"/>
    </row>
    <row r="930">
      <c r="A930" s="321"/>
      <c r="B930" s="321"/>
      <c r="C930" s="321"/>
      <c r="D930" s="322"/>
      <c r="E930" s="321"/>
    </row>
    <row r="931">
      <c r="A931" s="321"/>
      <c r="B931" s="321"/>
      <c r="C931" s="321"/>
      <c r="D931" s="322"/>
      <c r="E931" s="321"/>
    </row>
    <row r="932">
      <c r="A932" s="321"/>
      <c r="B932" s="321"/>
      <c r="C932" s="321"/>
      <c r="D932" s="322"/>
      <c r="E932" s="321"/>
    </row>
    <row r="933">
      <c r="A933" s="321"/>
      <c r="B933" s="321"/>
      <c r="C933" s="321"/>
      <c r="D933" s="322"/>
      <c r="E933" s="321"/>
    </row>
    <row r="934">
      <c r="A934" s="321"/>
      <c r="B934" s="321"/>
      <c r="C934" s="321"/>
      <c r="D934" s="322"/>
      <c r="E934" s="321"/>
    </row>
    <row r="935">
      <c r="A935" s="321"/>
      <c r="B935" s="321"/>
      <c r="C935" s="321"/>
      <c r="D935" s="322"/>
      <c r="E935" s="321"/>
    </row>
    <row r="936">
      <c r="A936" s="321"/>
      <c r="B936" s="321"/>
      <c r="C936" s="321"/>
      <c r="D936" s="322"/>
      <c r="E936" s="321"/>
    </row>
    <row r="937">
      <c r="A937" s="321"/>
      <c r="B937" s="321"/>
      <c r="C937" s="321"/>
      <c r="D937" s="322"/>
      <c r="E937" s="321"/>
    </row>
    <row r="938">
      <c r="A938" s="321"/>
      <c r="B938" s="321"/>
      <c r="C938" s="321"/>
      <c r="D938" s="322"/>
      <c r="E938" s="321"/>
    </row>
    <row r="939">
      <c r="A939" s="321"/>
      <c r="B939" s="321"/>
      <c r="C939" s="321"/>
      <c r="D939" s="322"/>
      <c r="E939" s="321"/>
    </row>
    <row r="940">
      <c r="A940" s="321"/>
      <c r="B940" s="321"/>
      <c r="C940" s="321"/>
      <c r="D940" s="322"/>
      <c r="E940" s="321"/>
    </row>
    <row r="941">
      <c r="A941" s="321"/>
      <c r="B941" s="321"/>
      <c r="C941" s="321"/>
      <c r="D941" s="322"/>
      <c r="E941" s="321"/>
    </row>
    <row r="942">
      <c r="A942" s="321"/>
      <c r="B942" s="321"/>
      <c r="C942" s="321"/>
      <c r="D942" s="322"/>
      <c r="E942" s="321"/>
    </row>
    <row r="943">
      <c r="A943" s="321"/>
      <c r="B943" s="321"/>
      <c r="C943" s="321"/>
      <c r="D943" s="322"/>
      <c r="E943" s="321"/>
    </row>
    <row r="944">
      <c r="A944" s="321"/>
      <c r="B944" s="321"/>
      <c r="C944" s="321"/>
      <c r="D944" s="322"/>
      <c r="E944" s="321"/>
    </row>
    <row r="945">
      <c r="A945" s="321"/>
      <c r="B945" s="321"/>
      <c r="C945" s="321"/>
      <c r="D945" s="322"/>
      <c r="E945" s="321"/>
    </row>
    <row r="946">
      <c r="A946" s="321"/>
      <c r="B946" s="321"/>
      <c r="C946" s="321"/>
      <c r="D946" s="322"/>
      <c r="E946" s="321"/>
    </row>
    <row r="947">
      <c r="A947" s="321"/>
      <c r="B947" s="321"/>
      <c r="C947" s="321"/>
      <c r="D947" s="322"/>
      <c r="E947" s="321"/>
    </row>
    <row r="948">
      <c r="A948" s="321"/>
      <c r="B948" s="321"/>
      <c r="C948" s="321"/>
      <c r="D948" s="322"/>
      <c r="E948" s="321"/>
    </row>
    <row r="949">
      <c r="A949" s="321"/>
      <c r="B949" s="321"/>
      <c r="C949" s="321"/>
      <c r="D949" s="322"/>
      <c r="E949" s="321"/>
    </row>
    <row r="950">
      <c r="A950" s="321"/>
      <c r="B950" s="321"/>
      <c r="C950" s="321"/>
      <c r="D950" s="322"/>
      <c r="E950" s="321"/>
    </row>
    <row r="951">
      <c r="A951" s="321"/>
      <c r="B951" s="321"/>
      <c r="C951" s="321"/>
      <c r="D951" s="322"/>
      <c r="E951" s="321"/>
    </row>
    <row r="952">
      <c r="A952" s="321"/>
      <c r="B952" s="321"/>
      <c r="C952" s="321"/>
      <c r="D952" s="322"/>
      <c r="E952" s="321"/>
    </row>
    <row r="953">
      <c r="A953" s="321"/>
      <c r="B953" s="321"/>
      <c r="C953" s="321"/>
      <c r="D953" s="322"/>
      <c r="E953" s="321"/>
    </row>
    <row r="954">
      <c r="A954" s="321"/>
      <c r="B954" s="321"/>
      <c r="C954" s="321"/>
      <c r="D954" s="322"/>
      <c r="E954" s="321"/>
    </row>
    <row r="955">
      <c r="A955" s="321"/>
      <c r="B955" s="321"/>
      <c r="C955" s="321"/>
      <c r="D955" s="322"/>
      <c r="E955" s="321"/>
    </row>
    <row r="956">
      <c r="A956" s="321"/>
      <c r="B956" s="321"/>
      <c r="C956" s="321"/>
      <c r="D956" s="322"/>
      <c r="E956" s="321"/>
    </row>
    <row r="957">
      <c r="A957" s="321"/>
      <c r="B957" s="321"/>
      <c r="C957" s="321"/>
      <c r="D957" s="322"/>
      <c r="E957" s="321"/>
    </row>
    <row r="958">
      <c r="A958" s="321"/>
      <c r="B958" s="321"/>
      <c r="C958" s="321"/>
      <c r="D958" s="322"/>
      <c r="E958" s="321"/>
    </row>
    <row r="959">
      <c r="A959" s="321"/>
      <c r="B959" s="321"/>
      <c r="C959" s="321"/>
      <c r="D959" s="322"/>
      <c r="E959" s="321"/>
    </row>
    <row r="960">
      <c r="A960" s="321"/>
      <c r="B960" s="321"/>
      <c r="C960" s="321"/>
      <c r="D960" s="322"/>
      <c r="E960" s="321"/>
    </row>
    <row r="961">
      <c r="A961" s="321"/>
      <c r="B961" s="321"/>
      <c r="C961" s="321"/>
      <c r="D961" s="322"/>
      <c r="E961" s="321"/>
    </row>
    <row r="962">
      <c r="A962" s="321"/>
      <c r="B962" s="321"/>
      <c r="C962" s="321"/>
      <c r="D962" s="322"/>
      <c r="E962" s="321"/>
    </row>
    <row r="963">
      <c r="A963" s="321"/>
      <c r="B963" s="321"/>
      <c r="C963" s="321"/>
      <c r="D963" s="322"/>
      <c r="E963" s="321"/>
    </row>
    <row r="964">
      <c r="A964" s="321"/>
      <c r="B964" s="321"/>
      <c r="C964" s="321"/>
      <c r="D964" s="322"/>
      <c r="E964" s="321"/>
    </row>
    <row r="965">
      <c r="A965" s="321"/>
      <c r="B965" s="321"/>
      <c r="C965" s="321"/>
      <c r="D965" s="322"/>
      <c r="E965" s="321"/>
    </row>
    <row r="966">
      <c r="A966" s="321"/>
      <c r="B966" s="321"/>
      <c r="C966" s="321"/>
      <c r="D966" s="322"/>
      <c r="E966" s="321"/>
    </row>
    <row r="967">
      <c r="A967" s="321"/>
      <c r="B967" s="321"/>
      <c r="C967" s="321"/>
      <c r="D967" s="322"/>
      <c r="E967" s="321"/>
    </row>
    <row r="968">
      <c r="A968" s="321"/>
      <c r="B968" s="321"/>
      <c r="C968" s="321"/>
      <c r="D968" s="322"/>
      <c r="E968" s="321"/>
    </row>
    <row r="969">
      <c r="A969" s="321"/>
      <c r="B969" s="321"/>
      <c r="C969" s="321"/>
      <c r="D969" s="322"/>
      <c r="E969" s="321"/>
    </row>
    <row r="970">
      <c r="A970" s="321"/>
      <c r="B970" s="321"/>
      <c r="C970" s="321"/>
      <c r="D970" s="322"/>
      <c r="E970" s="321"/>
    </row>
    <row r="971">
      <c r="A971" s="321"/>
      <c r="B971" s="321"/>
      <c r="C971" s="321"/>
      <c r="D971" s="322"/>
      <c r="E971" s="321"/>
    </row>
    <row r="972">
      <c r="A972" s="321"/>
      <c r="B972" s="321"/>
      <c r="C972" s="321"/>
      <c r="D972" s="322"/>
      <c r="E972" s="321"/>
    </row>
    <row r="973">
      <c r="A973" s="321"/>
      <c r="B973" s="321"/>
      <c r="C973" s="321"/>
      <c r="D973" s="322"/>
      <c r="E973" s="321"/>
    </row>
    <row r="974">
      <c r="A974" s="321"/>
      <c r="B974" s="321"/>
      <c r="C974" s="321"/>
      <c r="D974" s="322"/>
      <c r="E974" s="321"/>
    </row>
    <row r="975">
      <c r="A975" s="321"/>
      <c r="B975" s="321"/>
      <c r="C975" s="321"/>
      <c r="D975" s="322"/>
      <c r="E975" s="321"/>
    </row>
    <row r="976">
      <c r="A976" s="321"/>
      <c r="B976" s="321"/>
      <c r="C976" s="321"/>
      <c r="D976" s="322"/>
      <c r="E976" s="321"/>
    </row>
    <row r="977">
      <c r="A977" s="321"/>
      <c r="B977" s="321"/>
      <c r="C977" s="321"/>
      <c r="D977" s="322"/>
      <c r="E977" s="321"/>
    </row>
    <row r="978">
      <c r="A978" s="321"/>
      <c r="B978" s="321"/>
      <c r="C978" s="321"/>
      <c r="D978" s="322"/>
      <c r="E978" s="321"/>
    </row>
    <row r="979">
      <c r="A979" s="321"/>
      <c r="B979" s="321"/>
      <c r="C979" s="321"/>
      <c r="D979" s="322"/>
      <c r="E979" s="321"/>
    </row>
    <row r="980">
      <c r="A980" s="321"/>
      <c r="B980" s="321"/>
      <c r="C980" s="321"/>
      <c r="D980" s="322"/>
      <c r="E980" s="321"/>
    </row>
    <row r="981">
      <c r="A981" s="321"/>
      <c r="B981" s="321"/>
      <c r="C981" s="321"/>
      <c r="D981" s="322"/>
      <c r="E981" s="321"/>
    </row>
    <row r="982">
      <c r="A982" s="321"/>
      <c r="B982" s="321"/>
      <c r="C982" s="321"/>
      <c r="D982" s="322"/>
      <c r="E982" s="321"/>
    </row>
    <row r="983">
      <c r="A983" s="321"/>
      <c r="B983" s="321"/>
      <c r="C983" s="321"/>
      <c r="D983" s="322"/>
      <c r="E983" s="321"/>
    </row>
    <row r="984">
      <c r="A984" s="321"/>
      <c r="B984" s="321"/>
      <c r="C984" s="321"/>
      <c r="D984" s="322"/>
      <c r="E984" s="321"/>
    </row>
    <row r="985">
      <c r="A985" s="321"/>
      <c r="B985" s="321"/>
      <c r="C985" s="321"/>
      <c r="D985" s="322"/>
      <c r="E985" s="321"/>
    </row>
    <row r="986">
      <c r="A986" s="321"/>
      <c r="B986" s="321"/>
      <c r="C986" s="321"/>
      <c r="D986" s="322"/>
      <c r="E986" s="321"/>
    </row>
    <row r="987">
      <c r="A987" s="321"/>
      <c r="B987" s="321"/>
      <c r="C987" s="321"/>
      <c r="D987" s="322"/>
      <c r="E987" s="321"/>
    </row>
    <row r="988">
      <c r="A988" s="321"/>
      <c r="B988" s="321"/>
      <c r="C988" s="321"/>
      <c r="D988" s="322"/>
      <c r="E988" s="321"/>
    </row>
    <row r="989">
      <c r="A989" s="321"/>
      <c r="B989" s="321"/>
      <c r="C989" s="321"/>
      <c r="D989" s="322"/>
      <c r="E989" s="321"/>
    </row>
    <row r="990">
      <c r="A990" s="321"/>
      <c r="B990" s="321"/>
      <c r="C990" s="321"/>
      <c r="D990" s="322"/>
      <c r="E990" s="321"/>
    </row>
    <row r="991">
      <c r="A991" s="321"/>
      <c r="B991" s="321"/>
      <c r="C991" s="321"/>
      <c r="D991" s="322"/>
      <c r="E991" s="321"/>
    </row>
    <row r="992">
      <c r="A992" s="321"/>
      <c r="B992" s="321"/>
      <c r="C992" s="321"/>
      <c r="D992" s="322"/>
      <c r="E992" s="321"/>
    </row>
    <row r="993">
      <c r="A993" s="321"/>
      <c r="B993" s="321"/>
      <c r="C993" s="321"/>
      <c r="D993" s="322"/>
      <c r="E993" s="321"/>
    </row>
    <row r="994">
      <c r="A994" s="321"/>
      <c r="B994" s="321"/>
      <c r="C994" s="321"/>
      <c r="D994" s="322"/>
      <c r="E994" s="321"/>
    </row>
    <row r="995">
      <c r="A995" s="321"/>
      <c r="B995" s="321"/>
      <c r="C995" s="321"/>
      <c r="D995" s="322"/>
      <c r="E995" s="321"/>
    </row>
    <row r="996">
      <c r="A996" s="321"/>
      <c r="B996" s="321"/>
      <c r="C996" s="321"/>
      <c r="D996" s="322"/>
      <c r="E996" s="321"/>
    </row>
    <row r="997">
      <c r="A997" s="321"/>
      <c r="B997" s="321"/>
      <c r="C997" s="321"/>
      <c r="D997" s="322"/>
      <c r="E997" s="321"/>
    </row>
    <row r="998">
      <c r="A998" s="321"/>
      <c r="B998" s="321"/>
      <c r="C998" s="321"/>
      <c r="D998" s="322"/>
      <c r="E998" s="321"/>
    </row>
    <row r="999">
      <c r="A999" s="321"/>
      <c r="B999" s="321"/>
      <c r="C999" s="321"/>
      <c r="D999" s="322"/>
      <c r="E999" s="321"/>
    </row>
    <row r="1000">
      <c r="A1000" s="321"/>
      <c r="B1000" s="321"/>
      <c r="C1000" s="321"/>
      <c r="D1000" s="322"/>
      <c r="E1000" s="321"/>
    </row>
    <row r="1001">
      <c r="A1001" s="321"/>
      <c r="B1001" s="321"/>
      <c r="C1001" s="321"/>
      <c r="D1001" s="322"/>
      <c r="E1001" s="321"/>
    </row>
  </sheetData>
  <hyperlinks>
    <hyperlink r:id="rId1" ref="E6"/>
    <hyperlink r:id="rId2" ref="E7"/>
  </hyperlinks>
  <drawing r:id="rId3"/>
</worksheet>
</file>